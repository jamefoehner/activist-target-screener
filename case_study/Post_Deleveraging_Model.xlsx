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Model_Base" sheetId="2" state="visible" r:id="rId4"/>
    <sheet name="Model_Downside" sheetId="3" state="visible" r:id="rId5"/>
    <sheet name="Valuation" sheetId="4" state="visible" r:id="rId6"/>
    <sheet name="Spin_Off" sheetId="5" state="visible" r:id="rId7"/>
    <sheet name="Buyback_Check" sheetId="6" state="visible" r:id="rId8"/>
    <sheet name="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4" authorId="0">
      <text>
        <r>
          <rPr>
            <sz val="10"/>
            <rFont val="Arial"/>
            <family val="2"/>
          </rPr>
          <t xml:space="preserve">Source: Post Q4 FY25 release (operating cash flow $998.3mm less capex $510.2mm) and Q3 FY26 release (9M FCF $401.5mm vs $336.5mm).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4" authorId="0">
      <text>
        <r>
          <rPr>
            <sz val="10"/>
            <rFont val="Arial"/>
            <family val="2"/>
          </rPr>
          <t xml:space="preserve">Source: Post Q4 FY25 release (operating cash flow $998.3mm less capex $510.2mm) and Q3 FY26 release (9M FCF $401.5mm vs $336.5mm).</t>
        </r>
      </text>
    </comment>
  </commentList>
</comments>
</file>

<file path=xl/sharedStrings.xml><?xml version="1.0" encoding="utf-8"?>
<sst xmlns="http://schemas.openxmlformats.org/spreadsheetml/2006/main" count="295" uniqueCount="216">
  <si>
    <t xml:space="preserve">Post Holdings — Deleveraging Plan Model: Inputs</t>
  </si>
  <si>
    <t xml:space="preserve">Blue = input you can change; black = formula; yellow = key assumption. All $ in millions except per-share.</t>
  </si>
  <si>
    <t xml:space="preserve">Item</t>
  </si>
  <si>
    <t xml:space="preserve">Value</t>
  </si>
  <si>
    <t xml:space="preserve">Note</t>
  </si>
  <si>
    <t xml:space="preserve">Source</t>
  </si>
  <si>
    <t xml:space="preserve">Share price ($)</t>
  </si>
  <si>
    <t xml:space="preserve">Latest Compustat daily price</t>
  </si>
  <si>
    <t xml:space="preserve">Compustat comp.secd via WRDS, 12-Oct-2026 (user's post_comps.py run)</t>
  </si>
  <si>
    <t xml:space="preserve">Shares outstanding (mm)</t>
  </si>
  <si>
    <t xml:space="preserve">Market cap / price</t>
  </si>
  <si>
    <t xml:space="preserve">Compustat comp.secd: $3,377.2mm market cap / $76.83</t>
  </si>
  <si>
    <t xml:space="preserve">Net debt ($mm)</t>
  </si>
  <si>
    <t xml:space="preserve">Company-reported $7,410mm at 30-Jun-2026</t>
  </si>
  <si>
    <t xml:space="preserve">Compustat comp.fundq (user's run); Post Q3 FY26 release</t>
  </si>
  <si>
    <t xml:space="preserve">Base Adj. EBITDA, FY27 starting point ($mm)</t>
  </si>
  <si>
    <t xml:space="preserve">Mgmt: FY26 guide less ~$60mm excess Foodservice and ~$20mm divested</t>
  </si>
  <si>
    <t xml:space="preserve">Post Q3 FY26 earnings release (6-Aug-2026), Outlook section</t>
  </si>
  <si>
    <t xml:space="preserve">EBITDA growth by year</t>
  </si>
  <si>
    <t xml:space="preserve">Base</t>
  </si>
  <si>
    <t xml:space="preserve">Downside</t>
  </si>
  <si>
    <t xml:space="preserve">FY2027 growth</t>
  </si>
  <si>
    <t xml:space="preserve">Mgmt: preliminary FY27 'generally flat'</t>
  </si>
  <si>
    <t xml:space="preserve">Q3 FY26 call commentary / user assumption</t>
  </si>
  <si>
    <t xml:space="preserve">FY2028 growth</t>
  </si>
  <si>
    <t xml:space="preserve">Assumption: cereal/pet volume declines (mgmt: long-term -1% to -2%)</t>
  </si>
  <si>
    <t xml:space="preserve">FY2029 growth</t>
  </si>
  <si>
    <t xml:space="preserve">Assumption</t>
  </si>
  <si>
    <t xml:space="preserve">Depreciation &amp; amortization ($mm)</t>
  </si>
  <si>
    <t xml:space="preserve">TTM D&amp;A was $570mm</t>
  </si>
  <si>
    <t xml:space="preserve">Post Q3 FY26 release, net leverage reconciliation</t>
  </si>
  <si>
    <t xml:space="preserve">Capital expenditures ($mm)</t>
  </si>
  <si>
    <t xml:space="preserve">FY26 guide $370–390mm incl. $80–90mm egg-facility projects</t>
  </si>
  <si>
    <t xml:space="preserve">Post Q3 FY26 release; FY27 lower = assumption</t>
  </si>
  <si>
    <t xml:space="preserve">Average interest rate on net debt</t>
  </si>
  <si>
    <t xml:space="preserve">TTM interest $419mm / ~$7.6bn debt</t>
  </si>
  <si>
    <t xml:space="preserve">Post Q3 FY26 release</t>
  </si>
  <si>
    <t xml:space="preserve">Cash tax rate</t>
  </si>
  <si>
    <t xml:space="preserve">Company's statutory blended rate</t>
  </si>
  <si>
    <t xml:space="preserve">Post Q3 FY26 release, footnotes</t>
  </si>
  <si>
    <t xml:space="preserve">Other cash items ($mm)</t>
  </si>
  <si>
    <t xml:space="preserve">Restructuring, integration, working capital; calibrates model to TTM FCF of ~$553mm</t>
  </si>
  <si>
    <t xml:space="preserve">Assumption (see calibration on Model sheets)</t>
  </si>
  <si>
    <t xml:space="preserve">Status quo EV/EBITDA multiple</t>
  </si>
  <si>
    <t xml:space="preserve">Today's multiple on the FY27 base — held constant</t>
  </si>
  <si>
    <t xml:space="preserve">Formula</t>
  </si>
  <si>
    <t xml:space="preserve">Status quo leverage target (net debt / EBITDA)</t>
  </si>
  <si>
    <t xml:space="preserve">Assumes mgmt keeps leverage flat and buys back stock with the rest</t>
  </si>
  <si>
    <t xml:space="preserve">Activist plan levers</t>
  </si>
  <si>
    <t xml:space="preserve">Weetabix TTM Adj. EBITDA ($mm)</t>
  </si>
  <si>
    <t xml:space="preserve">Q4 FY25 $32.6mm + 9M FY26 $102.7mm</t>
  </si>
  <si>
    <t xml:space="preserve">Post Q4 FY25 and Q3 FY26 earnings releases</t>
  </si>
  <si>
    <t xml:space="preserve">Weetabix sale multiple (EV/EBITDA)</t>
  </si>
  <si>
    <t xml:space="preserve">UK #1 cereal brand; test 8x–12x</t>
  </si>
  <si>
    <t xml:space="preserve">Tax &amp; fees leakage on sale</t>
  </si>
  <si>
    <t xml:space="preserve">Placeholder — check tax basis in 10-K</t>
  </si>
  <si>
    <t xml:space="preserve">Weetabix capex ($mm)</t>
  </si>
  <si>
    <t xml:space="preserve">Removed from Post's capex after sale</t>
  </si>
  <si>
    <t xml:space="preserve">Weetabix D&amp;A ($mm)</t>
  </si>
  <si>
    <t xml:space="preserve">FY25 segment D&amp;A was $49mm</t>
  </si>
  <si>
    <t xml:space="preserve">Post Q4 FY25 release, segment reconciliation</t>
  </si>
  <si>
    <t xml:space="preserve">Stranded corporate costs ($mm / yr)</t>
  </si>
  <si>
    <t xml:space="preserve">Overhead that doesn't leave with Weetabix</t>
  </si>
  <si>
    <t xml:space="preserve">Activist leverage target (net debt / EBITDA)</t>
  </si>
  <si>
    <t xml:space="preserve">All FCF to debt until reached; buybacks resume after</t>
  </si>
  <si>
    <t xml:space="preserve">Upside case multiple: separation narrows the discount</t>
  </si>
  <si>
    <t xml:space="preserve">Closes about two-thirds of the gap to the no-discount multiple in B32; requires separating Foodservice, not just deleveraging</t>
  </si>
  <si>
    <t xml:space="preserve">Assumption; see rows 31–32</t>
  </si>
  <si>
    <t xml:space="preserve">Post's historical multiple as % of peers</t>
  </si>
  <si>
    <t xml:space="preserve">Average of 39 undistorted quarters, 2012–2026 (excludes 2014–15 and 2020–21); below peers in 37 of 39</t>
  </si>
  <si>
    <t xml:space="preserve">post_history.py on Compustat quarterly data</t>
  </si>
  <si>
    <t xml:space="preserve">Multiple with no conglomerate discount</t>
  </si>
  <si>
    <t xml:space="preserve">Today's multiple grossed up to peer parity</t>
  </si>
  <si>
    <t xml:space="preserve">Post Holdings — Base case projections ($mm)</t>
  </si>
  <si>
    <t xml:space="preserve">FY2027E</t>
  </si>
  <si>
    <t xml:space="preserve">FY2028E</t>
  </si>
  <si>
    <t xml:space="preserve">FY2029E</t>
  </si>
  <si>
    <t xml:space="preserve">STATUS QUO — keep leverage flat; free cash flow + new borrowing go to buybacks</t>
  </si>
  <si>
    <t xml:space="preserve">EBITDA growth</t>
  </si>
  <si>
    <t xml:space="preserve">Adj. EBITDA</t>
  </si>
  <si>
    <t xml:space="preserve">Beginning net debt</t>
  </si>
  <si>
    <t xml:space="preserve">Beginning shares (mm)</t>
  </si>
  <si>
    <t xml:space="preserve">Interest expense</t>
  </si>
  <si>
    <t xml:space="preserve">D&amp;A (for taxes)</t>
  </si>
  <si>
    <t xml:space="preserve">Capex</t>
  </si>
  <si>
    <t xml:space="preserve">Cash taxes</t>
  </si>
  <si>
    <t xml:space="preserve">Other cash items</t>
  </si>
  <si>
    <t xml:space="preserve">Free cash flow</t>
  </si>
  <si>
    <t xml:space="preserve">Buybacks (FCF + borrowing to hold leverage)</t>
  </si>
  <si>
    <t xml:space="preserve">Ending net debt</t>
  </si>
  <si>
    <t xml:space="preserve">Buyback price ($/share, implied value at start of year)</t>
  </si>
  <si>
    <t xml:space="preserve">Shares repurchased (mm)</t>
  </si>
  <si>
    <t xml:space="preserve">Ending shares (mm)</t>
  </si>
  <si>
    <t xml:space="preserve">Net debt / EBITDA</t>
  </si>
  <si>
    <t xml:space="preserve">ACTIVIST PLAN — sell Weetabix, pay down debt to target, then resume buybacks</t>
  </si>
  <si>
    <t xml:space="preserve">Weetabix EBITDA removed</t>
  </si>
  <si>
    <t xml:space="preserve">Adj. EBITDA (ex-Weetabix, less stranded costs)</t>
  </si>
  <si>
    <t xml:space="preserve">Beginning net debt (FY27 after sale proceeds)</t>
  </si>
  <si>
    <t xml:space="preserve">Debt paydown needed to reach target</t>
  </si>
  <si>
    <t xml:space="preserve">Buybacks (only FCF left after paydown)</t>
  </si>
  <si>
    <t xml:space="preserve">Buyback price ($/share, implied value at activist multiple)</t>
  </si>
  <si>
    <t xml:space="preserve">CALIBRATION CHECK — model FCF on TTM inputs vs. actual TTM free cash flow</t>
  </si>
  <si>
    <t xml:space="preserve">Modeled FCF at TTM levels (TTM EBITDA $1,616mm, capex $440mm, interest $419mm)</t>
  </si>
  <si>
    <t xml:space="preserve">Actual TTM free cash flow (FY25 FCF $488.1mm − 9M FY25 $336.5mm + 9M FY26 $401.5mm)</t>
  </si>
  <si>
    <t xml:space="preserve">Difference</t>
  </si>
  <si>
    <t xml:space="preserve">Post Holdings — Downside case projections ($mm)</t>
  </si>
  <si>
    <t xml:space="preserve">Value per share at end of FY2029 — status quo vs. activist plan</t>
  </si>
  <si>
    <t xml:space="preserve">Base case</t>
  </si>
  <si>
    <t xml:space="preserve">Plan</t>
  </si>
  <si>
    <t xml:space="preserve">Multiple</t>
  </si>
  <si>
    <t xml:space="preserve">FY29 EBITDA</t>
  </si>
  <si>
    <t xml:space="preserve">Enterprise value</t>
  </si>
  <si>
    <t xml:space="preserve">Net debt</t>
  </si>
  <si>
    <t xml:space="preserve">Equity value</t>
  </si>
  <si>
    <t xml:space="preserve">Shares (mm)</t>
  </si>
  <si>
    <t xml:space="preserve">Value / share</t>
  </si>
  <si>
    <t xml:space="preserve">vs. today</t>
  </si>
  <si>
    <t xml:space="preserve">Annual return</t>
  </si>
  <si>
    <t xml:space="preserve">Status quo (today's multiple)</t>
  </si>
  <si>
    <t xml:space="preserve">Activist plan — today's multiple (core case)</t>
  </si>
  <si>
    <t xml:space="preserve">Activist plan + separation upside</t>
  </si>
  <si>
    <t xml:space="preserve">Downside case</t>
  </si>
  <si>
    <t xml:space="preserve">Value bridge — base case ($ per share)</t>
  </si>
  <si>
    <t xml:space="preserve">Share price today</t>
  </si>
  <si>
    <t xml:space="preserve">Plus: status quo value creation (buybacks at constant multiple)</t>
  </si>
  <si>
    <t xml:space="preserve">Plus: plan vs. status quo at same multiple (sale + deleveraging)</t>
  </si>
  <si>
    <t xml:space="preserve">Plus: separation narrows the conglomerate discount (upside)</t>
  </si>
  <si>
    <t xml:space="preserve">Activist plan with separation upside (end FY29)</t>
  </si>
  <si>
    <t xml:space="preserve">Downside case: how much each plan loses vs. base</t>
  </si>
  <si>
    <t xml:space="preserve">Status quo value/share, downside vs. base</t>
  </si>
  <si>
    <t xml:space="preserve">Activist plan (today's multiple), downside vs. base</t>
  </si>
  <si>
    <t xml:space="preserve">Status quo net debt / EBITDA at end FY29, downside</t>
  </si>
  <si>
    <t xml:space="preserve">Activist plan net debt / EBITDA at end FY29, downside</t>
  </si>
  <si>
    <t xml:space="preserve">Sensitivity (base case): value per share at end FY29 by exit multiple</t>
  </si>
  <si>
    <t xml:space="preserve">Exit multiple</t>
  </si>
  <si>
    <t xml:space="preserve">Status quo</t>
  </si>
  <si>
    <t xml:space="preserve">Activist plan</t>
  </si>
  <si>
    <t xml:space="preserve">Note: the sensitivity changes only the exit multiple; buyback prices inside the model keep the multiples on the Inputs sheet.</t>
  </si>
  <si>
    <t xml:space="preserve">Foodservice spin-off: what would the two companies be worth?</t>
  </si>
  <si>
    <t xml:space="preserve">Each Post share receives one share of the spun-off Foodservice company ('SpinCo'). SpinCo takes on debt at its own target leverage; the rest stays with Post ('RemainCo').</t>
  </si>
  <si>
    <t xml:space="preserve">Spin-off inputs</t>
  </si>
  <si>
    <t xml:space="preserve">Foodservice normalized EBITDA, FY27 ($mm)</t>
  </si>
  <si>
    <t xml:space="preserve">Management: ~$500mm normalized annual run rate</t>
  </si>
  <si>
    <t xml:space="preserve">Post Q3 FY26 earnings release</t>
  </si>
  <si>
    <t xml:space="preserve">SpinCo standalone public-company costs ($mm / yr)</t>
  </si>
  <si>
    <t xml:space="preserve">New board, CFO, listing, audit, IT</t>
  </si>
  <si>
    <t xml:space="preserve">One-time separation costs ($mm)</t>
  </si>
  <si>
    <t xml:space="preserve">Advisers, systems, refinancing; added to debt</t>
  </si>
  <si>
    <t xml:space="preserve">SpinCo net debt / EBITDA at spin</t>
  </si>
  <si>
    <t xml:space="preserve">Typical for a newly spun food company</t>
  </si>
  <si>
    <t xml:space="preserve">SpinCo EV/EBITDA multiple</t>
  </si>
  <si>
    <t xml:space="preserve">Lamb Weston ~10x; discounted for egg-price cyclicality</t>
  </si>
  <si>
    <t xml:space="preserve">post_comps.py; assumption</t>
  </si>
  <si>
    <t xml:space="preserve">RemainCo EV/EBITDA multiple</t>
  </si>
  <si>
    <t xml:space="preserve">Today's Post multiple (no re-rating) — try 8.0x for peer-like</t>
  </si>
  <si>
    <t xml:space="preserve">Link to Inputs</t>
  </si>
  <si>
    <t xml:space="preserve">Pro forma values</t>
  </si>
  <si>
    <t xml:space="preserve">Spin today (after Weetabix sale)</t>
  </si>
  <si>
    <t xml:space="preserve">Spin at end of FY2029 (after paydown)</t>
  </si>
  <si>
    <t xml:space="preserve">Spin at end of FY2029, downside case</t>
  </si>
  <si>
    <t xml:space="preserve">Post EBITDA ex-Weetabix</t>
  </si>
  <si>
    <t xml:space="preserve">Foodservice EBITDA</t>
  </si>
  <si>
    <t xml:space="preserve">Less: SpinCo standalone costs</t>
  </si>
  <si>
    <t xml:space="preserve">SpinCo EBITDA</t>
  </si>
  <si>
    <t xml:space="preserve">RemainCo EBITDA</t>
  </si>
  <si>
    <t xml:space="preserve">Net debt before spin</t>
  </si>
  <si>
    <t xml:space="preserve">Plus: one-time separation costs</t>
  </si>
  <si>
    <t xml:space="preserve">SpinCo net debt</t>
  </si>
  <si>
    <t xml:space="preserve">RemainCo net debt</t>
  </si>
  <si>
    <t xml:space="preserve">RemainCo net debt / EBITDA</t>
  </si>
  <si>
    <t xml:space="preserve">SpinCo enterprise value</t>
  </si>
  <si>
    <t xml:space="preserve">SpinCo equity value</t>
  </si>
  <si>
    <t xml:space="preserve">RemainCo enterprise value</t>
  </si>
  <si>
    <t xml:space="preserve">RemainCo equity value</t>
  </si>
  <si>
    <t xml:space="preserve">Combined equity value</t>
  </si>
  <si>
    <t xml:space="preserve">Post shares (mm)</t>
  </si>
  <si>
    <t xml:space="preserve">Value per Post share (SpinCo + RemainCo)</t>
  </si>
  <si>
    <t xml:space="preserve">Compare: no spin, same date, today's multiple</t>
  </si>
  <si>
    <t xml:space="preserve">Value added by the spin-off, per share</t>
  </si>
  <si>
    <t xml:space="preserve">Implied multiple for Post as a whole</t>
  </si>
  <si>
    <t xml:space="preserve">Row 30, today column: today's share price. FY2029 column: the activist plan's core-case value (Valuation sheet), so row 31 isolates what the separation itself adds.</t>
  </si>
  <si>
    <t xml:space="preserve">Sensitivity: value per Post share, spin at end of FY2029</t>
  </si>
  <si>
    <t xml:space="preserve">RemainCo multiple ↓ / SpinCo multiple →</t>
  </si>
  <si>
    <t xml:space="preserve">What Post's recent buybacks are worth today</t>
  </si>
  <si>
    <t xml:space="preserve">Period</t>
  </si>
  <si>
    <t xml:space="preserve">Shares bought (mm)</t>
  </si>
  <si>
    <t xml:space="preserve">Amount spent ($mm)</t>
  </si>
  <si>
    <t xml:space="preserve">Avg. price ($)</t>
  </si>
  <si>
    <t xml:space="preserve">Value today ($mm)</t>
  </si>
  <si>
    <t xml:space="preserve">Gain / (loss) ($mm)</t>
  </si>
  <si>
    <t xml:space="preserve">FY2025 (Oct-2024 – Sep-2025)</t>
  </si>
  <si>
    <t xml:space="preserve">Post Q4 FY25 earnings release, Share Repurchases</t>
  </si>
  <si>
    <t xml:space="preserve">FY2026 through 5-Aug-2026</t>
  </si>
  <si>
    <t xml:space="preserve">Post Q3 FY26 release: 9.1mm / $908.8mm in 9M FY26 + 0.4mm / $39.3mm to 5-Aug</t>
  </si>
  <si>
    <t xml:space="preserve">Total</t>
  </si>
  <si>
    <t xml:space="preserve">Alternative: if the same cash had repaid debt</t>
  </si>
  <si>
    <t xml:space="preserve">Marginal borrowing rate (recent 6.25% senior notes)</t>
  </si>
  <si>
    <t xml:space="preserve">Annual interest saved ($mm)</t>
  </si>
  <si>
    <t xml:space="preserve">Net leverage if repaid instead (on TTM Adj. EBITDA $1,616mm)</t>
  </si>
  <si>
    <t xml:space="preserve">How to use this model</t>
  </si>
  <si>
    <t xml:space="preserve">1. Change blue cells on the Inputs sheet; everything else recalculates.</t>
  </si>
  <si>
    <t xml:space="preserve">2. Model_Base and Model_Downside run the same plan under the two EBITDA growth paths on Inputs.</t>
  </si>
  <si>
    <t xml:space="preserve">3. Valuation compares end-FY2029 value per share for the status quo and the activist plan, with a bridge and an exit-multiple sensitivity.</t>
  </si>
  <si>
    <t xml:space="preserve">4. Spin_Off values Foodservice and the rest of Post separately, either today (after the Weetabix sale) or at the end of FY2029 (after debt paydown), with a multiple sensitivity grid.</t>
  </si>
  <si>
    <t xml:space="preserve">5. Buyback_Check shows the market value today of shares Post repurchased in FY2025–FY2026.</t>
  </si>
  <si>
    <t xml:space="preserve">Key simplifications</t>
  </si>
  <si>
    <t xml:space="preserve">- Interest is charged on beginning-of-year net debt (avoids circular references).</t>
  </si>
  <si>
    <t xml:space="preserve">- Buyback prices equal the implied value per share at the start of each year at the plan's multiple, so buybacks get more expensive as value rises.</t>
  </si>
  <si>
    <t xml:space="preserve">- Weetabix is assumed sold on 1-Oct-2026 with proceeds used to repay debt; its EBITDA follows the same growth path as the rest of Post.</t>
  </si>
  <si>
    <t xml:space="preserve">- EBITDA is Post's Adjusted EBITDA; peer multiples from Compustat use as-reported EBITDA, so compare re-rating assumptions with care.</t>
  </si>
  <si>
    <t xml:space="preserve">- Post's own history (post_history.py) shows no re-rating when leverage was lower: its discount to peers has persisted at all leverage levels. The core case therefore holds today's multiple; the upside case assumes separation, not deleveraging, narrows the discount.</t>
  </si>
  <si>
    <t xml:space="preserve">- Convertible notes are treated as debt (included in net debt); basic shares are used.</t>
  </si>
  <si>
    <t xml:space="preserve">Sources</t>
  </si>
  <si>
    <t xml:space="preserve">- Post Holdings Q3 FY2026 earnings release (8-K Ex. 99.1, 6-Aug-2026): https://www.sec.gov/Archives/edgar/data/0001530950/000153095026000076/ex99-1q32026er.htm</t>
  </si>
  <si>
    <t xml:space="preserve">- Post Holdings Q4 FY2025 earnings release (8-K Ex. 99.1, 20-Nov-2025): https://www.sec.gov/Archives/edgar/data/1530950/000153095025000256/ex99-1q42025er.htm</t>
  </si>
  <si>
    <t xml:space="preserve">- Compustat (comp.secd, comp.fundq) via WRDS, pulled by post_comps.py on 12-Oct-2026.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</si>
</sst>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#,##0.0;\(#,##0.0\);\-"/>
    <numFmt numFmtId="167" formatCode="\$#,##0;&quot;($&quot;#,##0\);\-"/>
    <numFmt numFmtId="168" formatCode="0.0%;\(0.0%\);\-"/>
    <numFmt numFmtId="169" formatCode="0.0\x"/>
    <numFmt numFmtId="170" formatCode="\$#,##0.0;&quot;($&quot;#,##0.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Value per share, end FY2029 (base case)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Valuation!$A$5:$A$7</c:f>
              <c:strCache>
                <c:ptCount val="3"/>
                <c:pt idx="0">
                  <c:v>Status quo (today's multiple)</c:v>
                </c:pt>
                <c:pt idx="1">
                  <c:v>Activist plan — today's multiple (core case)</c:v>
                </c:pt>
                <c:pt idx="2">
                  <c:v>Activist plan + separation upside</c:v>
                </c:pt>
              </c:strCache>
            </c:strRef>
          </c:cat>
          <c:val>
            <c:numRef>
              <c:f>Valuation!$H$5:$H$7</c:f>
              <c:numCache>
                <c:formatCode>\$#,##0.00;"($"#,##0.00\);\-</c:formatCode>
                <c:ptCount val="3"/>
                <c:pt idx="0">
                  <c:v>120.744001727438</c:v>
                </c:pt>
                <c:pt idx="1">
                  <c:v>111.246153816358</c:v>
                </c:pt>
                <c:pt idx="2">
                  <c:v>133.411174083677</c:v>
                </c:pt>
              </c:numCache>
            </c:numRef>
          </c:val>
        </c:ser>
        <c:gapWidth val="150"/>
        <c:overlap val="0"/>
        <c:axId val="85471304"/>
        <c:axId val="69207481"/>
      </c:barChart>
      <c:catAx>
        <c:axId val="85471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07481"/>
        <c:crosses val="autoZero"/>
        <c:auto val="1"/>
        <c:lblAlgn val="ctr"/>
        <c:lblOffset val="100"/>
        <c:noMultiLvlLbl val="0"/>
      </c:catAx>
      <c:valAx>
        <c:axId val="692074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/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713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12</xdr:row>
      <xdr:rowOff>50040</xdr:rowOff>
    </xdr:from>
    <xdr:to>
      <xdr:col>9</xdr:col>
      <xdr:colOff>825480</xdr:colOff>
      <xdr:row>26</xdr:row>
      <xdr:rowOff>82800</xdr:rowOff>
    </xdr:to>
    <xdr:graphicFrame>
      <xdr:nvGraphicFramePr>
        <xdr:cNvPr id="0" name="Chart 1"/>
        <xdr:cNvGraphicFramePr/>
      </xdr:nvGraphicFramePr>
      <xdr:xfrm>
        <a:off x="7048440" y="2666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2"/>
    <col collapsed="false" customWidth="true" hidden="false" outlineLevel="0" max="4" min="4" style="0" width="3"/>
    <col collapsed="false" customWidth="true" hidden="false" outlineLevel="0" max="6" min="5" style="0" width="62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4" t="s">
        <v>2</v>
      </c>
      <c r="B3" s="4" t="s">
        <v>3</v>
      </c>
      <c r="C3" s="4"/>
      <c r="D3" s="4"/>
      <c r="E3" s="4" t="s">
        <v>4</v>
      </c>
      <c r="F3" s="4" t="s">
        <v>5</v>
      </c>
    </row>
    <row r="4" customFormat="false" ht="15" hidden="false" customHeight="false" outlineLevel="0" collapsed="false">
      <c r="A4" s="5" t="s">
        <v>6</v>
      </c>
      <c r="B4" s="6" t="n">
        <v>76.83</v>
      </c>
      <c r="C4" s="2"/>
      <c r="D4" s="2"/>
      <c r="E4" s="7" t="s">
        <v>7</v>
      </c>
      <c r="F4" s="8" t="s">
        <v>8</v>
      </c>
    </row>
    <row r="5" customFormat="false" ht="15" hidden="false" customHeight="false" outlineLevel="0" collapsed="false">
      <c r="A5" s="5" t="s">
        <v>9</v>
      </c>
      <c r="B5" s="9" t="n">
        <v>43.96</v>
      </c>
      <c r="C5" s="2"/>
      <c r="D5" s="2"/>
      <c r="E5" s="7" t="s">
        <v>10</v>
      </c>
      <c r="F5" s="8" t="s">
        <v>11</v>
      </c>
    </row>
    <row r="6" customFormat="false" ht="15" hidden="false" customHeight="false" outlineLevel="0" collapsed="false">
      <c r="A6" s="5" t="s">
        <v>12</v>
      </c>
      <c r="B6" s="10" t="n">
        <v>7360</v>
      </c>
      <c r="C6" s="2"/>
      <c r="D6" s="2"/>
      <c r="E6" s="7" t="s">
        <v>13</v>
      </c>
      <c r="F6" s="8" t="s">
        <v>14</v>
      </c>
    </row>
    <row r="7" customFormat="false" ht="15" hidden="false" customHeight="false" outlineLevel="0" collapsed="false">
      <c r="A7" s="5" t="s">
        <v>15</v>
      </c>
      <c r="B7" s="11" t="n">
        <v>1480</v>
      </c>
      <c r="C7" s="2"/>
      <c r="D7" s="2"/>
      <c r="E7" s="7" t="s">
        <v>16</v>
      </c>
      <c r="F7" s="8" t="s">
        <v>17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</row>
    <row r="9" customFormat="false" ht="15" hidden="false" customHeight="false" outlineLevel="0" collapsed="false">
      <c r="A9" s="12" t="s">
        <v>18</v>
      </c>
      <c r="B9" s="12" t="s">
        <v>19</v>
      </c>
      <c r="C9" s="12" t="s">
        <v>20</v>
      </c>
      <c r="D9" s="2"/>
      <c r="E9" s="2"/>
      <c r="F9" s="2"/>
    </row>
    <row r="10" customFormat="false" ht="15" hidden="false" customHeight="false" outlineLevel="0" collapsed="false">
      <c r="A10" s="2" t="s">
        <v>21</v>
      </c>
      <c r="B10" s="13" t="n">
        <v>0</v>
      </c>
      <c r="C10" s="13" t="n">
        <v>-0.04</v>
      </c>
      <c r="D10" s="2"/>
      <c r="E10" s="7" t="s">
        <v>22</v>
      </c>
      <c r="F10" s="8" t="s">
        <v>23</v>
      </c>
    </row>
    <row r="11" customFormat="false" ht="15" hidden="false" customHeight="false" outlineLevel="0" collapsed="false">
      <c r="A11" s="2" t="s">
        <v>24</v>
      </c>
      <c r="B11" s="13" t="n">
        <v>-0.01</v>
      </c>
      <c r="C11" s="13" t="n">
        <v>-0.05</v>
      </c>
      <c r="D11" s="2"/>
      <c r="E11" s="7" t="s">
        <v>25</v>
      </c>
      <c r="F11" s="8" t="s">
        <v>23</v>
      </c>
    </row>
    <row r="12" customFormat="false" ht="15" hidden="false" customHeight="false" outlineLevel="0" collapsed="false">
      <c r="A12" s="2" t="s">
        <v>26</v>
      </c>
      <c r="B12" s="13" t="n">
        <v>-0.01</v>
      </c>
      <c r="C12" s="13" t="n">
        <v>-0.05</v>
      </c>
      <c r="D12" s="2"/>
      <c r="E12" s="7" t="s">
        <v>27</v>
      </c>
      <c r="F12" s="8" t="s">
        <v>23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</row>
    <row r="14" customFormat="false" ht="15" hidden="false" customHeight="false" outlineLevel="0" collapsed="false">
      <c r="A14" s="5" t="s">
        <v>28</v>
      </c>
      <c r="B14" s="10" t="n">
        <v>560</v>
      </c>
      <c r="C14" s="2"/>
      <c r="D14" s="2"/>
      <c r="E14" s="7" t="s">
        <v>29</v>
      </c>
      <c r="F14" s="8" t="s">
        <v>30</v>
      </c>
    </row>
    <row r="15" customFormat="false" ht="15" hidden="false" customHeight="false" outlineLevel="0" collapsed="false">
      <c r="A15" s="5" t="s">
        <v>31</v>
      </c>
      <c r="B15" s="10" t="n">
        <v>350</v>
      </c>
      <c r="C15" s="2"/>
      <c r="D15" s="2"/>
      <c r="E15" s="7" t="s">
        <v>32</v>
      </c>
      <c r="F15" s="8" t="s">
        <v>33</v>
      </c>
    </row>
    <row r="16" customFormat="false" ht="15" hidden="false" customHeight="false" outlineLevel="0" collapsed="false">
      <c r="A16" s="5" t="s">
        <v>34</v>
      </c>
      <c r="B16" s="13" t="n">
        <v>0.055</v>
      </c>
      <c r="C16" s="2"/>
      <c r="D16" s="2"/>
      <c r="E16" s="7" t="s">
        <v>35</v>
      </c>
      <c r="F16" s="8" t="s">
        <v>36</v>
      </c>
    </row>
    <row r="17" customFormat="false" ht="15" hidden="false" customHeight="false" outlineLevel="0" collapsed="false">
      <c r="A17" s="5" t="s">
        <v>37</v>
      </c>
      <c r="B17" s="13" t="n">
        <v>0.245</v>
      </c>
      <c r="C17" s="2"/>
      <c r="D17" s="2"/>
      <c r="E17" s="7" t="s">
        <v>38</v>
      </c>
      <c r="F17" s="8" t="s">
        <v>39</v>
      </c>
    </row>
    <row r="18" customFormat="false" ht="15" hidden="false" customHeight="false" outlineLevel="0" collapsed="false">
      <c r="A18" s="5" t="s">
        <v>40</v>
      </c>
      <c r="B18" s="10" t="n">
        <v>-50</v>
      </c>
      <c r="C18" s="2"/>
      <c r="D18" s="2"/>
      <c r="E18" s="7" t="s">
        <v>41</v>
      </c>
      <c r="F18" s="8" t="s">
        <v>42</v>
      </c>
    </row>
    <row r="19" customFormat="false" ht="15" hidden="false" customHeight="false" outlineLevel="0" collapsed="false">
      <c r="A19" s="5" t="s">
        <v>43</v>
      </c>
      <c r="B19" s="14" t="n">
        <f aca="false">(B4*B5+B6)/B7</f>
        <v>7.25503162162162</v>
      </c>
      <c r="C19" s="2"/>
      <c r="D19" s="2"/>
      <c r="E19" s="7" t="s">
        <v>44</v>
      </c>
      <c r="F19" s="8" t="s">
        <v>45</v>
      </c>
    </row>
    <row r="20" customFormat="false" ht="15" hidden="false" customHeight="false" outlineLevel="0" collapsed="false">
      <c r="A20" s="5" t="s">
        <v>46</v>
      </c>
      <c r="B20" s="14" t="n">
        <f aca="false">B6/B7</f>
        <v>4.97297297297297</v>
      </c>
      <c r="C20" s="2"/>
      <c r="D20" s="2"/>
      <c r="E20" s="7" t="s">
        <v>47</v>
      </c>
      <c r="F20" s="8" t="s">
        <v>45</v>
      </c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</row>
    <row r="22" customFormat="false" ht="15" hidden="false" customHeight="false" outlineLevel="0" collapsed="false">
      <c r="A22" s="15" t="s">
        <v>48</v>
      </c>
      <c r="B22" s="2"/>
      <c r="C22" s="2"/>
      <c r="D22" s="2"/>
      <c r="E22" s="2"/>
      <c r="F22" s="2"/>
    </row>
    <row r="23" customFormat="false" ht="15" hidden="false" customHeight="false" outlineLevel="0" collapsed="false">
      <c r="A23" s="5" t="s">
        <v>49</v>
      </c>
      <c r="B23" s="16" t="n">
        <v>135.3</v>
      </c>
      <c r="C23" s="2"/>
      <c r="D23" s="2"/>
      <c r="E23" s="7" t="s">
        <v>50</v>
      </c>
      <c r="F23" s="8" t="s">
        <v>51</v>
      </c>
    </row>
    <row r="24" customFormat="false" ht="15" hidden="false" customHeight="false" outlineLevel="0" collapsed="false">
      <c r="A24" s="5" t="s">
        <v>52</v>
      </c>
      <c r="B24" s="17" t="n">
        <v>10</v>
      </c>
      <c r="C24" s="2"/>
      <c r="D24" s="2"/>
      <c r="E24" s="7" t="s">
        <v>53</v>
      </c>
      <c r="F24" s="8" t="s">
        <v>27</v>
      </c>
    </row>
    <row r="25" customFormat="false" ht="15" hidden="false" customHeight="false" outlineLevel="0" collapsed="false">
      <c r="A25" s="5" t="s">
        <v>54</v>
      </c>
      <c r="B25" s="13" t="n">
        <v>0.1</v>
      </c>
      <c r="C25" s="2"/>
      <c r="D25" s="2"/>
      <c r="E25" s="7" t="s">
        <v>55</v>
      </c>
      <c r="F25" s="8" t="s">
        <v>27</v>
      </c>
    </row>
    <row r="26" customFormat="false" ht="15" hidden="false" customHeight="false" outlineLevel="0" collapsed="false">
      <c r="A26" s="5" t="s">
        <v>56</v>
      </c>
      <c r="B26" s="10" t="n">
        <v>25</v>
      </c>
      <c r="C26" s="2"/>
      <c r="D26" s="2"/>
      <c r="E26" s="7" t="s">
        <v>57</v>
      </c>
      <c r="F26" s="8" t="s">
        <v>27</v>
      </c>
    </row>
    <row r="27" customFormat="false" ht="15" hidden="false" customHeight="false" outlineLevel="0" collapsed="false">
      <c r="A27" s="5" t="s">
        <v>58</v>
      </c>
      <c r="B27" s="10" t="n">
        <v>46</v>
      </c>
      <c r="C27" s="2"/>
      <c r="D27" s="2"/>
      <c r="E27" s="7" t="s">
        <v>59</v>
      </c>
      <c r="F27" s="8" t="s">
        <v>60</v>
      </c>
    </row>
    <row r="28" customFormat="false" ht="15" hidden="false" customHeight="false" outlineLevel="0" collapsed="false">
      <c r="A28" s="5" t="s">
        <v>61</v>
      </c>
      <c r="B28" s="10" t="n">
        <v>10</v>
      </c>
      <c r="C28" s="2"/>
      <c r="D28" s="2"/>
      <c r="E28" s="7" t="s">
        <v>62</v>
      </c>
      <c r="F28" s="8" t="s">
        <v>27</v>
      </c>
    </row>
    <row r="29" customFormat="false" ht="15" hidden="false" customHeight="false" outlineLevel="0" collapsed="false">
      <c r="A29" s="5" t="s">
        <v>63</v>
      </c>
      <c r="B29" s="17" t="n">
        <v>3.5</v>
      </c>
      <c r="C29" s="2"/>
      <c r="D29" s="2"/>
      <c r="E29" s="7" t="s">
        <v>64</v>
      </c>
      <c r="F29" s="8" t="s">
        <v>27</v>
      </c>
    </row>
    <row r="30" customFormat="false" ht="15" hidden="false" customHeight="false" outlineLevel="0" collapsed="false">
      <c r="A30" s="5" t="s">
        <v>65</v>
      </c>
      <c r="B30" s="17" t="n">
        <v>8</v>
      </c>
      <c r="C30" s="2"/>
      <c r="D30" s="2"/>
      <c r="E30" s="7" t="s">
        <v>66</v>
      </c>
      <c r="F30" s="8" t="s">
        <v>67</v>
      </c>
    </row>
    <row r="31" customFormat="false" ht="15" hidden="false" customHeight="false" outlineLevel="0" collapsed="false">
      <c r="A31" s="5" t="s">
        <v>68</v>
      </c>
      <c r="B31" s="13" t="n">
        <v>0.875</v>
      </c>
      <c r="C31" s="2"/>
      <c r="D31" s="2"/>
      <c r="E31" s="7" t="s">
        <v>69</v>
      </c>
      <c r="F31" s="8" t="s">
        <v>70</v>
      </c>
    </row>
    <row r="32" customFormat="false" ht="15" hidden="false" customHeight="false" outlineLevel="0" collapsed="false">
      <c r="A32" s="5" t="s">
        <v>71</v>
      </c>
      <c r="B32" s="14" t="n">
        <f aca="false">B19/B31</f>
        <v>8.29146471042471</v>
      </c>
      <c r="C32" s="2"/>
      <c r="D32" s="2"/>
      <c r="E32" s="7" t="s">
        <v>72</v>
      </c>
      <c r="F32" s="8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3"/>
    <col collapsed="false" customWidth="true" hidden="false" outlineLevel="0" max="5" min="3" style="0" width="14"/>
  </cols>
  <sheetData>
    <row r="1" customFormat="false" ht="17.35" hidden="false" customHeight="false" outlineLevel="0" collapsed="false">
      <c r="A1" s="1" t="s">
        <v>73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18"/>
      <c r="B3" s="18"/>
      <c r="C3" s="19" t="s">
        <v>74</v>
      </c>
      <c r="D3" s="19" t="s">
        <v>75</v>
      </c>
      <c r="E3" s="19" t="s">
        <v>76</v>
      </c>
    </row>
    <row r="4" customFormat="false" ht="15" hidden="false" customHeight="false" outlineLevel="0" collapsed="false">
      <c r="A4" s="2"/>
      <c r="B4" s="2"/>
      <c r="C4" s="2"/>
      <c r="D4" s="2"/>
      <c r="E4" s="2"/>
    </row>
    <row r="5" customFormat="false" ht="15" hidden="false" customHeight="false" outlineLevel="0" collapsed="false">
      <c r="A5" s="15" t="s">
        <v>77</v>
      </c>
      <c r="B5" s="20"/>
      <c r="C5" s="20"/>
      <c r="D5" s="20"/>
      <c r="E5" s="20"/>
    </row>
    <row r="6" customFormat="false" ht="15" hidden="false" customHeight="false" outlineLevel="0" collapsed="false">
      <c r="A6" s="5" t="s">
        <v>78</v>
      </c>
      <c r="B6" s="2"/>
      <c r="C6" s="21" t="n">
        <f aca="false">Inputs!$B$10</f>
        <v>0</v>
      </c>
      <c r="D6" s="21" t="n">
        <f aca="false">Inputs!$B$11</f>
        <v>-0.01</v>
      </c>
      <c r="E6" s="21" t="n">
        <f aca="false">Inputs!$B$12</f>
        <v>-0.01</v>
      </c>
    </row>
    <row r="7" customFormat="false" ht="15" hidden="false" customHeight="false" outlineLevel="0" collapsed="false">
      <c r="A7" s="12" t="s">
        <v>79</v>
      </c>
      <c r="B7" s="2"/>
      <c r="C7" s="22" t="n">
        <f aca="false">Inputs!$B$7*(1+C6)</f>
        <v>1480</v>
      </c>
      <c r="D7" s="22" t="n">
        <f aca="false">C7*(1+D6)</f>
        <v>1465.2</v>
      </c>
      <c r="E7" s="22" t="n">
        <f aca="false">D7*(1+E6)</f>
        <v>1450.548</v>
      </c>
    </row>
    <row r="8" customFormat="false" ht="15" hidden="false" customHeight="false" outlineLevel="0" collapsed="false">
      <c r="A8" s="5" t="s">
        <v>80</v>
      </c>
      <c r="B8" s="2"/>
      <c r="C8" s="23" t="n">
        <f aca="false">Inputs!$B$6</f>
        <v>7360</v>
      </c>
      <c r="D8" s="24" t="n">
        <f aca="false">C17</f>
        <v>7360</v>
      </c>
      <c r="E8" s="24" t="n">
        <f aca="false">D17</f>
        <v>7286.4</v>
      </c>
    </row>
    <row r="9" customFormat="false" ht="15" hidden="false" customHeight="false" outlineLevel="0" collapsed="false">
      <c r="A9" s="5" t="s">
        <v>81</v>
      </c>
      <c r="B9" s="2"/>
      <c r="C9" s="25" t="n">
        <f aca="false">Inputs!$B$5</f>
        <v>43.96</v>
      </c>
      <c r="D9" s="26" t="n">
        <f aca="false">C20</f>
        <v>36.8146661460367</v>
      </c>
      <c r="E9" s="26" t="n">
        <f aca="false">D20</f>
        <v>31.7547961713794</v>
      </c>
    </row>
    <row r="10" customFormat="false" ht="15" hidden="false" customHeight="false" outlineLevel="0" collapsed="false">
      <c r="A10" s="5" t="s">
        <v>82</v>
      </c>
      <c r="B10" s="2"/>
      <c r="C10" s="24" t="n">
        <f aca="false">C8*Inputs!$B$16</f>
        <v>404.8</v>
      </c>
      <c r="D10" s="24" t="n">
        <f aca="false">D8*Inputs!$B$16</f>
        <v>404.8</v>
      </c>
      <c r="E10" s="24" t="n">
        <f aca="false">E8*Inputs!$B$16</f>
        <v>400.752</v>
      </c>
    </row>
    <row r="11" customFormat="false" ht="15" hidden="false" customHeight="false" outlineLevel="0" collapsed="false">
      <c r="A11" s="5" t="s">
        <v>83</v>
      </c>
      <c r="B11" s="2"/>
      <c r="C11" s="23" t="n">
        <f aca="false">Inputs!$B$14</f>
        <v>560</v>
      </c>
      <c r="D11" s="23" t="n">
        <f aca="false">Inputs!$B$14</f>
        <v>560</v>
      </c>
      <c r="E11" s="23" t="n">
        <f aca="false">Inputs!$B$14</f>
        <v>560</v>
      </c>
    </row>
    <row r="12" customFormat="false" ht="15" hidden="false" customHeight="false" outlineLevel="0" collapsed="false">
      <c r="A12" s="5" t="s">
        <v>84</v>
      </c>
      <c r="B12" s="2"/>
      <c r="C12" s="23" t="n">
        <f aca="false">Inputs!$B$15</f>
        <v>350</v>
      </c>
      <c r="D12" s="23" t="n">
        <f aca="false">Inputs!$B$15</f>
        <v>350</v>
      </c>
      <c r="E12" s="23" t="n">
        <f aca="false">Inputs!$B$15</f>
        <v>350</v>
      </c>
    </row>
    <row r="13" customFormat="false" ht="15" hidden="false" customHeight="false" outlineLevel="0" collapsed="false">
      <c r="A13" s="5" t="s">
        <v>85</v>
      </c>
      <c r="B13" s="2"/>
      <c r="C13" s="24" t="n">
        <f aca="false">MAX(0,C7-C11-C10)*Inputs!$B$17</f>
        <v>126.224</v>
      </c>
      <c r="D13" s="24" t="n">
        <f aca="false">MAX(0,D7-D11-D10)*Inputs!$B$17</f>
        <v>122.598</v>
      </c>
      <c r="E13" s="24" t="n">
        <f aca="false">MAX(0,E7-E11-E10)*Inputs!$B$17</f>
        <v>120.00002</v>
      </c>
    </row>
    <row r="14" customFormat="false" ht="15" hidden="false" customHeight="false" outlineLevel="0" collapsed="false">
      <c r="A14" s="5" t="s">
        <v>86</v>
      </c>
      <c r="B14" s="2"/>
      <c r="C14" s="23" t="n">
        <f aca="false">Inputs!$B$18</f>
        <v>-50</v>
      </c>
      <c r="D14" s="23" t="n">
        <f aca="false">Inputs!$B$18</f>
        <v>-50</v>
      </c>
      <c r="E14" s="23" t="n">
        <f aca="false">Inputs!$B$18</f>
        <v>-50</v>
      </c>
    </row>
    <row r="15" customFormat="false" ht="15" hidden="false" customHeight="false" outlineLevel="0" collapsed="false">
      <c r="A15" s="12" t="s">
        <v>87</v>
      </c>
      <c r="B15" s="2"/>
      <c r="C15" s="27" t="n">
        <f aca="false">C7-C12-C10-C13+C14</f>
        <v>548.976</v>
      </c>
      <c r="D15" s="27" t="n">
        <f aca="false">D7-D12-D10-D13+D14</f>
        <v>537.802</v>
      </c>
      <c r="E15" s="27" t="n">
        <f aca="false">E7-E12-E10-E13+E14</f>
        <v>529.79598</v>
      </c>
    </row>
    <row r="16" customFormat="false" ht="15" hidden="false" customHeight="false" outlineLevel="0" collapsed="false">
      <c r="A16" s="5" t="s">
        <v>88</v>
      </c>
      <c r="B16" s="2"/>
      <c r="C16" s="24" t="n">
        <f aca="false">MAX(0,C15+(Inputs!$B$20*C7-C8))</f>
        <v>548.976</v>
      </c>
      <c r="D16" s="24" t="n">
        <f aca="false">MAX(0,D15+(Inputs!$B$20*D7-D8))</f>
        <v>464.202</v>
      </c>
      <c r="E16" s="24" t="n">
        <f aca="false">MAX(0,E15+(Inputs!$B$20*E7-E8))</f>
        <v>456.931980000001</v>
      </c>
    </row>
    <row r="17" customFormat="false" ht="15" hidden="false" customHeight="false" outlineLevel="0" collapsed="false">
      <c r="A17" s="12" t="s">
        <v>89</v>
      </c>
      <c r="B17" s="2"/>
      <c r="C17" s="22" t="n">
        <f aca="false">C8-C15+C16</f>
        <v>7360</v>
      </c>
      <c r="D17" s="22" t="n">
        <f aca="false">D8-D15+D16</f>
        <v>7286.4</v>
      </c>
      <c r="E17" s="22" t="n">
        <f aca="false">E8-E15+E16</f>
        <v>7213.536</v>
      </c>
    </row>
    <row r="18" customFormat="false" ht="15" hidden="false" customHeight="false" outlineLevel="0" collapsed="false">
      <c r="A18" s="5" t="s">
        <v>90</v>
      </c>
      <c r="B18" s="2"/>
      <c r="C18" s="28" t="n">
        <f aca="false">Inputs!$B$4</f>
        <v>76.83</v>
      </c>
      <c r="D18" s="29" t="n">
        <f aca="false">MAX(1,(C7*Inputs!$B$19-D8)/D9)</f>
        <v>91.7418831560856</v>
      </c>
      <c r="E18" s="29" t="n">
        <f aca="false">MAX(1,(D7*Inputs!$B$19-E8)/E9)</f>
        <v>105.29660823374</v>
      </c>
    </row>
    <row r="19" customFormat="false" ht="15" hidden="false" customHeight="false" outlineLevel="0" collapsed="false">
      <c r="A19" s="5" t="s">
        <v>91</v>
      </c>
      <c r="B19" s="2"/>
      <c r="C19" s="26" t="n">
        <f aca="false">C16/C18</f>
        <v>7.1453338539633</v>
      </c>
      <c r="D19" s="26" t="n">
        <f aca="false">D16/D18</f>
        <v>5.05986997465734</v>
      </c>
      <c r="E19" s="26" t="n">
        <f aca="false">E16/E18</f>
        <v>4.33947481941386</v>
      </c>
    </row>
    <row r="20" customFormat="false" ht="15" hidden="false" customHeight="false" outlineLevel="0" collapsed="false">
      <c r="A20" s="12" t="s">
        <v>92</v>
      </c>
      <c r="B20" s="2"/>
      <c r="C20" s="30" t="n">
        <f aca="false">C9-C19</f>
        <v>36.8146661460367</v>
      </c>
      <c r="D20" s="30" t="n">
        <f aca="false">D9-D19</f>
        <v>31.7547961713794</v>
      </c>
      <c r="E20" s="30" t="n">
        <f aca="false">E9-E19</f>
        <v>27.4153213519655</v>
      </c>
    </row>
    <row r="21" customFormat="false" ht="15" hidden="false" customHeight="false" outlineLevel="0" collapsed="false">
      <c r="A21" s="5" t="s">
        <v>93</v>
      </c>
      <c r="B21" s="2"/>
      <c r="C21" s="14" t="n">
        <f aca="false">C17/C7</f>
        <v>4.97297297297297</v>
      </c>
      <c r="D21" s="14" t="n">
        <f aca="false">D17/D7</f>
        <v>4.97297297297297</v>
      </c>
      <c r="E21" s="14" t="n">
        <f aca="false">E17/E7</f>
        <v>4.97297297297297</v>
      </c>
    </row>
    <row r="22" customFormat="false" ht="15" hidden="false" customHeight="false" outlineLevel="0" collapsed="false">
      <c r="A22" s="2"/>
      <c r="B22" s="2"/>
      <c r="C22" s="2"/>
      <c r="D22" s="2"/>
      <c r="E22" s="2"/>
    </row>
    <row r="23" customFormat="false" ht="15" hidden="false" customHeight="false" outlineLevel="0" collapsed="false">
      <c r="A23" s="15" t="s">
        <v>94</v>
      </c>
      <c r="B23" s="20"/>
      <c r="C23" s="20"/>
      <c r="D23" s="20"/>
      <c r="E23" s="20"/>
    </row>
    <row r="24" customFormat="false" ht="15" hidden="false" customHeight="false" outlineLevel="0" collapsed="false">
      <c r="A24" s="5" t="s">
        <v>95</v>
      </c>
      <c r="B24" s="2"/>
      <c r="C24" s="24" t="n">
        <f aca="false">Inputs!$B$23*(1+C6)</f>
        <v>135.3</v>
      </c>
      <c r="D24" s="24" t="n">
        <f aca="false">C24*(1+D6)</f>
        <v>133.947</v>
      </c>
      <c r="E24" s="24" t="n">
        <f aca="false">D24*(1+E6)</f>
        <v>132.60753</v>
      </c>
    </row>
    <row r="25" customFormat="false" ht="15" hidden="false" customHeight="false" outlineLevel="0" collapsed="false">
      <c r="A25" s="12" t="s">
        <v>96</v>
      </c>
      <c r="B25" s="2"/>
      <c r="C25" s="22" t="n">
        <f aca="false">C7-C24-Inputs!$B$28</f>
        <v>1334.7</v>
      </c>
      <c r="D25" s="22" t="n">
        <f aca="false">D7-D24-Inputs!$B$28</f>
        <v>1321.253</v>
      </c>
      <c r="E25" s="22" t="n">
        <f aca="false">E7-E24-Inputs!$B$28</f>
        <v>1307.94047</v>
      </c>
    </row>
    <row r="26" customFormat="false" ht="15" hidden="false" customHeight="false" outlineLevel="0" collapsed="false">
      <c r="A26" s="5" t="s">
        <v>97</v>
      </c>
      <c r="B26" s="2"/>
      <c r="C26" s="24" t="n">
        <f aca="false">Inputs!$B$6-Inputs!$B$23*Inputs!$B$24*(1-Inputs!$B$25)</f>
        <v>6142.3</v>
      </c>
      <c r="D26" s="24" t="n">
        <f aca="false">C36</f>
        <v>5638.7305075</v>
      </c>
      <c r="E26" s="24" t="n">
        <f aca="false">D36</f>
        <v>5124.40277682394</v>
      </c>
    </row>
    <row r="27" customFormat="false" ht="15" hidden="false" customHeight="false" outlineLevel="0" collapsed="false">
      <c r="A27" s="5" t="s">
        <v>81</v>
      </c>
      <c r="B27" s="2"/>
      <c r="C27" s="25" t="n">
        <f aca="false">Inputs!$B$5</f>
        <v>43.96</v>
      </c>
      <c r="D27" s="26" t="n">
        <f aca="false">C39</f>
        <v>43.96</v>
      </c>
      <c r="E27" s="26" t="n">
        <f aca="false">D39</f>
        <v>43.96</v>
      </c>
    </row>
    <row r="28" customFormat="false" ht="15" hidden="false" customHeight="false" outlineLevel="0" collapsed="false">
      <c r="A28" s="5" t="s">
        <v>82</v>
      </c>
      <c r="B28" s="2"/>
      <c r="C28" s="24" t="n">
        <f aca="false">C26*Inputs!$B$16</f>
        <v>337.8265</v>
      </c>
      <c r="D28" s="24" t="n">
        <f aca="false">D26*Inputs!$B$16</f>
        <v>310.1301779125</v>
      </c>
      <c r="E28" s="24" t="n">
        <f aca="false">E26*Inputs!$B$16</f>
        <v>281.842152725317</v>
      </c>
    </row>
    <row r="29" customFormat="false" ht="15" hidden="false" customHeight="false" outlineLevel="0" collapsed="false">
      <c r="A29" s="5" t="s">
        <v>83</v>
      </c>
      <c r="B29" s="2"/>
      <c r="C29" s="24" t="n">
        <f aca="false">Inputs!$B$14-Inputs!$B$27</f>
        <v>514</v>
      </c>
      <c r="D29" s="24" t="n">
        <f aca="false">Inputs!$B$14-Inputs!$B$27</f>
        <v>514</v>
      </c>
      <c r="E29" s="24" t="n">
        <f aca="false">Inputs!$B$14-Inputs!$B$27</f>
        <v>514</v>
      </c>
    </row>
    <row r="30" customFormat="false" ht="15" hidden="false" customHeight="false" outlineLevel="0" collapsed="false">
      <c r="A30" s="5" t="s">
        <v>84</v>
      </c>
      <c r="B30" s="2"/>
      <c r="C30" s="24" t="n">
        <f aca="false">Inputs!$B$15-Inputs!$B$26</f>
        <v>325</v>
      </c>
      <c r="D30" s="24" t="n">
        <f aca="false">Inputs!$B$15-Inputs!$B$26</f>
        <v>325</v>
      </c>
      <c r="E30" s="24" t="n">
        <f aca="false">Inputs!$B$15-Inputs!$B$26</f>
        <v>325</v>
      </c>
    </row>
    <row r="31" customFormat="false" ht="15" hidden="false" customHeight="false" outlineLevel="0" collapsed="false">
      <c r="A31" s="5" t="s">
        <v>85</v>
      </c>
      <c r="B31" s="2"/>
      <c r="C31" s="24" t="n">
        <f aca="false">MAX(0,C25-C29-C28)*Inputs!$B$17</f>
        <v>118.3040075</v>
      </c>
      <c r="D31" s="24" t="n">
        <f aca="false">MAX(0,D25-D29-D28)*Inputs!$B$17</f>
        <v>121.795091411438</v>
      </c>
      <c r="E31" s="24" t="n">
        <f aca="false">MAX(0,E25-E29-E28)*Inputs!$B$17</f>
        <v>125.464087732297</v>
      </c>
    </row>
    <row r="32" customFormat="false" ht="15" hidden="false" customHeight="false" outlineLevel="0" collapsed="false">
      <c r="A32" s="5" t="s">
        <v>86</v>
      </c>
      <c r="B32" s="2"/>
      <c r="C32" s="23" t="n">
        <f aca="false">Inputs!$B$18</f>
        <v>-50</v>
      </c>
      <c r="D32" s="23" t="n">
        <f aca="false">Inputs!$B$18</f>
        <v>-50</v>
      </c>
      <c r="E32" s="23" t="n">
        <f aca="false">Inputs!$B$18</f>
        <v>-50</v>
      </c>
    </row>
    <row r="33" customFormat="false" ht="15" hidden="false" customHeight="false" outlineLevel="0" collapsed="false">
      <c r="A33" s="12" t="s">
        <v>87</v>
      </c>
      <c r="B33" s="2"/>
      <c r="C33" s="27" t="n">
        <f aca="false">C25-C30-C28-C31+C32</f>
        <v>503.5694925</v>
      </c>
      <c r="D33" s="27" t="n">
        <f aca="false">D25-D30-D28-D31+D32</f>
        <v>514.327730676063</v>
      </c>
      <c r="E33" s="27" t="n">
        <f aca="false">E25-E30-E28-E31+E32</f>
        <v>525.634229542386</v>
      </c>
    </row>
    <row r="34" customFormat="false" ht="15" hidden="false" customHeight="false" outlineLevel="0" collapsed="false">
      <c r="A34" s="5" t="s">
        <v>98</v>
      </c>
      <c r="B34" s="2"/>
      <c r="C34" s="24" t="n">
        <f aca="false">MAX(0,C26-Inputs!$B$29*C25)</f>
        <v>1470.85</v>
      </c>
      <c r="D34" s="24" t="n">
        <f aca="false">MAX(0,D26-Inputs!$B$29*D25)</f>
        <v>1014.3450075</v>
      </c>
      <c r="E34" s="24" t="n">
        <f aca="false">MAX(0,E26-Inputs!$B$29*E25)</f>
        <v>546.611131823937</v>
      </c>
    </row>
    <row r="35" customFormat="false" ht="15" hidden="false" customHeight="false" outlineLevel="0" collapsed="false">
      <c r="A35" s="5" t="s">
        <v>99</v>
      </c>
      <c r="B35" s="2"/>
      <c r="C35" s="24" t="n">
        <f aca="false">MAX(0,C33-C34)</f>
        <v>0</v>
      </c>
      <c r="D35" s="24" t="n">
        <f aca="false">MAX(0,D33-D34)</f>
        <v>0</v>
      </c>
      <c r="E35" s="24" t="n">
        <f aca="false">MAX(0,E33-E34)</f>
        <v>0</v>
      </c>
    </row>
    <row r="36" customFormat="false" ht="15" hidden="false" customHeight="false" outlineLevel="0" collapsed="false">
      <c r="A36" s="12" t="s">
        <v>89</v>
      </c>
      <c r="B36" s="2"/>
      <c r="C36" s="22" t="n">
        <f aca="false">C26-C33+C35</f>
        <v>5638.7305075</v>
      </c>
      <c r="D36" s="22" t="n">
        <f aca="false">D26-D33+D35</f>
        <v>5124.40277682394</v>
      </c>
      <c r="E36" s="22" t="n">
        <f aca="false">E26-E33+E35</f>
        <v>4598.76854728155</v>
      </c>
    </row>
    <row r="37" customFormat="false" ht="15" hidden="false" customHeight="false" outlineLevel="0" collapsed="false">
      <c r="A37" s="5" t="s">
        <v>100</v>
      </c>
      <c r="B37" s="2"/>
      <c r="C37" s="29" t="n">
        <f aca="false">MAX(1,((Inputs!$B$7-Inputs!$B$23-Inputs!$B$28)*Inputs!$B$30-C26)/C27)</f>
        <v>103.168789808917</v>
      </c>
      <c r="D37" s="29" t="n">
        <f aca="false">MAX(1,(C25*Inputs!$B$30-D26)/D27)</f>
        <v>114.623964797543</v>
      </c>
      <c r="E37" s="29" t="n">
        <f aca="false">MAX(1,(D25*Inputs!$B$30-E26)/E27)</f>
        <v>123.876733921203</v>
      </c>
    </row>
    <row r="38" customFormat="false" ht="15" hidden="false" customHeight="false" outlineLevel="0" collapsed="false">
      <c r="A38" s="5" t="s">
        <v>91</v>
      </c>
      <c r="B38" s="2"/>
      <c r="C38" s="26" t="n">
        <f aca="false">C35/C37</f>
        <v>0</v>
      </c>
      <c r="D38" s="26" t="n">
        <f aca="false">D35/D37</f>
        <v>0</v>
      </c>
      <c r="E38" s="26" t="n">
        <f aca="false">E35/E37</f>
        <v>0</v>
      </c>
    </row>
    <row r="39" customFormat="false" ht="15" hidden="false" customHeight="false" outlineLevel="0" collapsed="false">
      <c r="A39" s="12" t="s">
        <v>92</v>
      </c>
      <c r="B39" s="2"/>
      <c r="C39" s="30" t="n">
        <f aca="false">C27-C38</f>
        <v>43.96</v>
      </c>
      <c r="D39" s="30" t="n">
        <f aca="false">D27-D38</f>
        <v>43.96</v>
      </c>
      <c r="E39" s="30" t="n">
        <f aca="false">E27-E38</f>
        <v>43.96</v>
      </c>
    </row>
    <row r="40" customFormat="false" ht="15" hidden="false" customHeight="false" outlineLevel="0" collapsed="false">
      <c r="A40" s="5" t="s">
        <v>93</v>
      </c>
      <c r="B40" s="2"/>
      <c r="C40" s="14" t="n">
        <f aca="false">C36/C25</f>
        <v>4.22471754514123</v>
      </c>
      <c r="D40" s="14" t="n">
        <f aca="false">D36/D25</f>
        <v>3.87844173434152</v>
      </c>
      <c r="E40" s="14" t="n">
        <f aca="false">E36/E25</f>
        <v>3.51603811699591</v>
      </c>
    </row>
    <row r="41" customFormat="false" ht="15" hidden="false" customHeight="false" outlineLevel="0" collapsed="false">
      <c r="A41" s="2"/>
      <c r="B41" s="2"/>
      <c r="C41" s="2"/>
      <c r="D41" s="2"/>
      <c r="E41" s="2"/>
    </row>
    <row r="42" customFormat="false" ht="15" hidden="false" customHeight="false" outlineLevel="0" collapsed="false">
      <c r="A42" s="15" t="s">
        <v>101</v>
      </c>
      <c r="B42" s="20"/>
      <c r="C42" s="20"/>
      <c r="D42" s="20"/>
      <c r="E42" s="20"/>
    </row>
    <row r="43" customFormat="false" ht="15" hidden="false" customHeight="false" outlineLevel="0" collapsed="false">
      <c r="A43" s="2" t="s">
        <v>102</v>
      </c>
      <c r="B43" s="2"/>
      <c r="C43" s="31" t="n">
        <f aca="false">1615.9-439.5-419.1-MAX(0,1615.9-570.4-419.1)*Inputs!$B$17+Inputs!$B$18</f>
        <v>553.832</v>
      </c>
      <c r="D43" s="2"/>
      <c r="E43" s="2"/>
    </row>
    <row r="44" customFormat="false" ht="15" hidden="false" customHeight="false" outlineLevel="0" collapsed="false">
      <c r="A44" s="2" t="s">
        <v>103</v>
      </c>
      <c r="B44" s="2"/>
      <c r="C44" s="10" t="n">
        <v>553.1</v>
      </c>
      <c r="D44" s="2"/>
      <c r="E44" s="2"/>
    </row>
    <row r="45" customFormat="false" ht="15" hidden="false" customHeight="false" outlineLevel="0" collapsed="false">
      <c r="A45" s="2" t="s">
        <v>104</v>
      </c>
      <c r="B45" s="2"/>
      <c r="C45" s="31" t="n">
        <f aca="false">C43-C44</f>
        <v>0.732000000000085</v>
      </c>
      <c r="D45" s="2"/>
      <c r="E4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3"/>
    <col collapsed="false" customWidth="true" hidden="false" outlineLevel="0" max="5" min="3" style="0" width="14"/>
  </cols>
  <sheetData>
    <row r="1" customFormat="false" ht="17.35" hidden="false" customHeight="false" outlineLevel="0" collapsed="false">
      <c r="A1" s="1" t="s">
        <v>105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18"/>
      <c r="B3" s="18"/>
      <c r="C3" s="19" t="s">
        <v>74</v>
      </c>
      <c r="D3" s="19" t="s">
        <v>75</v>
      </c>
      <c r="E3" s="19" t="s">
        <v>76</v>
      </c>
    </row>
    <row r="4" customFormat="false" ht="15" hidden="false" customHeight="false" outlineLevel="0" collapsed="false">
      <c r="A4" s="2"/>
      <c r="B4" s="2"/>
      <c r="C4" s="2"/>
      <c r="D4" s="2"/>
      <c r="E4" s="2"/>
    </row>
    <row r="5" customFormat="false" ht="15" hidden="false" customHeight="false" outlineLevel="0" collapsed="false">
      <c r="A5" s="15" t="s">
        <v>77</v>
      </c>
      <c r="B5" s="20"/>
      <c r="C5" s="20"/>
      <c r="D5" s="20"/>
      <c r="E5" s="20"/>
    </row>
    <row r="6" customFormat="false" ht="15" hidden="false" customHeight="false" outlineLevel="0" collapsed="false">
      <c r="A6" s="5" t="s">
        <v>78</v>
      </c>
      <c r="B6" s="2"/>
      <c r="C6" s="21" t="n">
        <f aca="false">Inputs!$C$10</f>
        <v>-0.04</v>
      </c>
      <c r="D6" s="21" t="n">
        <f aca="false">Inputs!$C$11</f>
        <v>-0.05</v>
      </c>
      <c r="E6" s="21" t="n">
        <f aca="false">Inputs!$C$12</f>
        <v>-0.05</v>
      </c>
    </row>
    <row r="7" customFormat="false" ht="15" hidden="false" customHeight="false" outlineLevel="0" collapsed="false">
      <c r="A7" s="12" t="s">
        <v>79</v>
      </c>
      <c r="B7" s="2"/>
      <c r="C7" s="22" t="n">
        <f aca="false">Inputs!$B$7*(1+C6)</f>
        <v>1420.8</v>
      </c>
      <c r="D7" s="22" t="n">
        <f aca="false">C7*(1+D6)</f>
        <v>1349.76</v>
      </c>
      <c r="E7" s="22" t="n">
        <f aca="false">D7*(1+E6)</f>
        <v>1282.272</v>
      </c>
    </row>
    <row r="8" customFormat="false" ht="15" hidden="false" customHeight="false" outlineLevel="0" collapsed="false">
      <c r="A8" s="5" t="s">
        <v>80</v>
      </c>
      <c r="B8" s="2"/>
      <c r="C8" s="23" t="n">
        <f aca="false">Inputs!$B$6</f>
        <v>7360</v>
      </c>
      <c r="D8" s="24" t="n">
        <f aca="false">C17</f>
        <v>7065.6</v>
      </c>
      <c r="E8" s="24" t="n">
        <f aca="false">D17</f>
        <v>6712.32</v>
      </c>
    </row>
    <row r="9" customFormat="false" ht="15" hidden="false" customHeight="false" outlineLevel="0" collapsed="false">
      <c r="A9" s="5" t="s">
        <v>81</v>
      </c>
      <c r="B9" s="2"/>
      <c r="C9" s="25" t="n">
        <f aca="false">Inputs!$B$5</f>
        <v>43.96</v>
      </c>
      <c r="D9" s="26" t="n">
        <f aca="false">C20</f>
        <v>41.2282545880516</v>
      </c>
      <c r="E9" s="26" t="n">
        <f aca="false">D20</f>
        <v>39.8347603572161</v>
      </c>
    </row>
    <row r="10" customFormat="false" ht="15" hidden="false" customHeight="false" outlineLevel="0" collapsed="false">
      <c r="A10" s="5" t="s">
        <v>82</v>
      </c>
      <c r="B10" s="2"/>
      <c r="C10" s="24" t="n">
        <f aca="false">C8*Inputs!$B$16</f>
        <v>404.8</v>
      </c>
      <c r="D10" s="24" t="n">
        <f aca="false">D8*Inputs!$B$16</f>
        <v>388.608</v>
      </c>
      <c r="E10" s="24" t="n">
        <f aca="false">E8*Inputs!$B$16</f>
        <v>369.1776</v>
      </c>
    </row>
    <row r="11" customFormat="false" ht="15" hidden="false" customHeight="false" outlineLevel="0" collapsed="false">
      <c r="A11" s="5" t="s">
        <v>83</v>
      </c>
      <c r="B11" s="2"/>
      <c r="C11" s="23" t="n">
        <f aca="false">Inputs!$B$14</f>
        <v>560</v>
      </c>
      <c r="D11" s="23" t="n">
        <f aca="false">Inputs!$B$14</f>
        <v>560</v>
      </c>
      <c r="E11" s="23" t="n">
        <f aca="false">Inputs!$B$14</f>
        <v>560</v>
      </c>
    </row>
    <row r="12" customFormat="false" ht="15" hidden="false" customHeight="false" outlineLevel="0" collapsed="false">
      <c r="A12" s="5" t="s">
        <v>84</v>
      </c>
      <c r="B12" s="2"/>
      <c r="C12" s="23" t="n">
        <f aca="false">Inputs!$B$15</f>
        <v>350</v>
      </c>
      <c r="D12" s="23" t="n">
        <f aca="false">Inputs!$B$15</f>
        <v>350</v>
      </c>
      <c r="E12" s="23" t="n">
        <f aca="false">Inputs!$B$15</f>
        <v>350</v>
      </c>
    </row>
    <row r="13" customFormat="false" ht="15" hidden="false" customHeight="false" outlineLevel="0" collapsed="false">
      <c r="A13" s="5" t="s">
        <v>85</v>
      </c>
      <c r="B13" s="2"/>
      <c r="C13" s="24" t="n">
        <f aca="false">MAX(0,C7-C11-C10)*Inputs!$B$17</f>
        <v>111.72</v>
      </c>
      <c r="D13" s="24" t="n">
        <f aca="false">MAX(0,D7-D11-D10)*Inputs!$B$17</f>
        <v>98.28224</v>
      </c>
      <c r="E13" s="24" t="n">
        <f aca="false">MAX(0,E7-E11-E10)*Inputs!$B$17</f>
        <v>86.508128</v>
      </c>
    </row>
    <row r="14" customFormat="false" ht="15" hidden="false" customHeight="false" outlineLevel="0" collapsed="false">
      <c r="A14" s="5" t="s">
        <v>86</v>
      </c>
      <c r="B14" s="2"/>
      <c r="C14" s="23" t="n">
        <f aca="false">Inputs!$B$18</f>
        <v>-50</v>
      </c>
      <c r="D14" s="23" t="n">
        <f aca="false">Inputs!$B$18</f>
        <v>-50</v>
      </c>
      <c r="E14" s="23" t="n">
        <f aca="false">Inputs!$B$18</f>
        <v>-50</v>
      </c>
    </row>
    <row r="15" customFormat="false" ht="15" hidden="false" customHeight="false" outlineLevel="0" collapsed="false">
      <c r="A15" s="12" t="s">
        <v>87</v>
      </c>
      <c r="B15" s="2"/>
      <c r="C15" s="27" t="n">
        <f aca="false">C7-C12-C10-C13+C14</f>
        <v>504.28</v>
      </c>
      <c r="D15" s="27" t="n">
        <f aca="false">D7-D12-D10-D13+D14</f>
        <v>462.86976</v>
      </c>
      <c r="E15" s="27" t="n">
        <f aca="false">E7-E12-E10-E13+E14</f>
        <v>426.586272</v>
      </c>
    </row>
    <row r="16" customFormat="false" ht="15" hidden="false" customHeight="false" outlineLevel="0" collapsed="false">
      <c r="A16" s="5" t="s">
        <v>88</v>
      </c>
      <c r="B16" s="2"/>
      <c r="C16" s="24" t="n">
        <f aca="false">MAX(0,C15+(Inputs!$B$20*C7-C8))</f>
        <v>209.879999999999</v>
      </c>
      <c r="D16" s="24" t="n">
        <f aca="false">MAX(0,D15+(Inputs!$B$20*D7-D8))</f>
        <v>109.58976</v>
      </c>
      <c r="E16" s="24" t="n">
        <f aca="false">MAX(0,E15+(Inputs!$B$20*E7-E8))</f>
        <v>90.970272</v>
      </c>
    </row>
    <row r="17" customFormat="false" ht="15" hidden="false" customHeight="false" outlineLevel="0" collapsed="false">
      <c r="A17" s="12" t="s">
        <v>89</v>
      </c>
      <c r="B17" s="2"/>
      <c r="C17" s="22" t="n">
        <f aca="false">C8-C15+C16</f>
        <v>7065.6</v>
      </c>
      <c r="D17" s="22" t="n">
        <f aca="false">D8-D15+D16</f>
        <v>6712.32</v>
      </c>
      <c r="E17" s="22" t="n">
        <f aca="false">E8-E15+E16</f>
        <v>6376.704</v>
      </c>
    </row>
    <row r="18" customFormat="false" ht="15" hidden="false" customHeight="false" outlineLevel="0" collapsed="false">
      <c r="A18" s="5" t="s">
        <v>90</v>
      </c>
      <c r="B18" s="2"/>
      <c r="C18" s="28" t="n">
        <f aca="false">Inputs!$B$4</f>
        <v>76.83</v>
      </c>
      <c r="D18" s="29" t="n">
        <f aca="false">MAX(1,(C7*Inputs!$B$19-D8)/D9)</f>
        <v>78.6438562679215</v>
      </c>
      <c r="E18" s="29" t="n">
        <f aca="false">MAX(1,(D7*Inputs!$B$19-E8)/E9)</f>
        <v>77.3252168201387</v>
      </c>
    </row>
    <row r="19" customFormat="false" ht="15" hidden="false" customHeight="false" outlineLevel="0" collapsed="false">
      <c r="A19" s="5" t="s">
        <v>91</v>
      </c>
      <c r="B19" s="2"/>
      <c r="C19" s="26" t="n">
        <f aca="false">C16/C18</f>
        <v>2.73174541194845</v>
      </c>
      <c r="D19" s="26" t="n">
        <f aca="false">D16/D18</f>
        <v>1.39349423083544</v>
      </c>
      <c r="E19" s="26" t="n">
        <f aca="false">E16/E18</f>
        <v>1.17646319972953</v>
      </c>
    </row>
    <row r="20" customFormat="false" ht="15" hidden="false" customHeight="false" outlineLevel="0" collapsed="false">
      <c r="A20" s="12" t="s">
        <v>92</v>
      </c>
      <c r="B20" s="2"/>
      <c r="C20" s="30" t="n">
        <f aca="false">C9-C19</f>
        <v>41.2282545880516</v>
      </c>
      <c r="D20" s="30" t="n">
        <f aca="false">D9-D19</f>
        <v>39.8347603572161</v>
      </c>
      <c r="E20" s="30" t="n">
        <f aca="false">E9-E19</f>
        <v>38.6582971574866</v>
      </c>
    </row>
    <row r="21" customFormat="false" ht="15" hidden="false" customHeight="false" outlineLevel="0" collapsed="false">
      <c r="A21" s="5" t="s">
        <v>93</v>
      </c>
      <c r="B21" s="2"/>
      <c r="C21" s="14" t="n">
        <f aca="false">C17/C7</f>
        <v>4.97297297297297</v>
      </c>
      <c r="D21" s="14" t="n">
        <f aca="false">D17/D7</f>
        <v>4.97297297297297</v>
      </c>
      <c r="E21" s="14" t="n">
        <f aca="false">E17/E7</f>
        <v>4.97297297297297</v>
      </c>
    </row>
    <row r="22" customFormat="false" ht="15" hidden="false" customHeight="false" outlineLevel="0" collapsed="false">
      <c r="A22" s="2"/>
      <c r="B22" s="2"/>
      <c r="C22" s="2"/>
      <c r="D22" s="2"/>
      <c r="E22" s="2"/>
    </row>
    <row r="23" customFormat="false" ht="15" hidden="false" customHeight="false" outlineLevel="0" collapsed="false">
      <c r="A23" s="15" t="s">
        <v>94</v>
      </c>
      <c r="B23" s="20"/>
      <c r="C23" s="20"/>
      <c r="D23" s="20"/>
      <c r="E23" s="20"/>
    </row>
    <row r="24" customFormat="false" ht="15" hidden="false" customHeight="false" outlineLevel="0" collapsed="false">
      <c r="A24" s="5" t="s">
        <v>95</v>
      </c>
      <c r="B24" s="2"/>
      <c r="C24" s="24" t="n">
        <f aca="false">Inputs!$B$23*(1+C6)</f>
        <v>129.888</v>
      </c>
      <c r="D24" s="24" t="n">
        <f aca="false">C24*(1+D6)</f>
        <v>123.3936</v>
      </c>
      <c r="E24" s="24" t="n">
        <f aca="false">D24*(1+E6)</f>
        <v>117.22392</v>
      </c>
    </row>
    <row r="25" customFormat="false" ht="15" hidden="false" customHeight="false" outlineLevel="0" collapsed="false">
      <c r="A25" s="12" t="s">
        <v>96</v>
      </c>
      <c r="B25" s="2"/>
      <c r="C25" s="22" t="n">
        <f aca="false">C7-C24-Inputs!$B$28</f>
        <v>1280.912</v>
      </c>
      <c r="D25" s="22" t="n">
        <f aca="false">D7-D24-Inputs!$B$28</f>
        <v>1216.3664</v>
      </c>
      <c r="E25" s="22" t="n">
        <f aca="false">E7-E24-Inputs!$B$28</f>
        <v>1155.04808</v>
      </c>
    </row>
    <row r="26" customFormat="false" ht="15" hidden="false" customHeight="false" outlineLevel="0" collapsed="false">
      <c r="A26" s="5" t="s">
        <v>97</v>
      </c>
      <c r="B26" s="2"/>
      <c r="C26" s="24" t="n">
        <f aca="false">Inputs!$B$6-Inputs!$B$23*Inputs!$B$24*(1-Inputs!$B$25)</f>
        <v>6142.3</v>
      </c>
      <c r="D26" s="24" t="n">
        <f aca="false">C36</f>
        <v>5679.3404475</v>
      </c>
      <c r="E26" s="24" t="n">
        <f aca="false">D36</f>
        <v>5245.88842758244</v>
      </c>
    </row>
    <row r="27" customFormat="false" ht="15" hidden="false" customHeight="false" outlineLevel="0" collapsed="false">
      <c r="A27" s="5" t="s">
        <v>81</v>
      </c>
      <c r="B27" s="2"/>
      <c r="C27" s="25" t="n">
        <f aca="false">Inputs!$B$5</f>
        <v>43.96</v>
      </c>
      <c r="D27" s="26" t="n">
        <f aca="false">C39</f>
        <v>43.96</v>
      </c>
      <c r="E27" s="26" t="n">
        <f aca="false">D39</f>
        <v>43.96</v>
      </c>
    </row>
    <row r="28" customFormat="false" ht="15" hidden="false" customHeight="false" outlineLevel="0" collapsed="false">
      <c r="A28" s="5" t="s">
        <v>82</v>
      </c>
      <c r="B28" s="2"/>
      <c r="C28" s="24" t="n">
        <f aca="false">C26*Inputs!$B$16</f>
        <v>337.8265</v>
      </c>
      <c r="D28" s="24" t="n">
        <f aca="false">D26*Inputs!$B$16</f>
        <v>312.3637246125</v>
      </c>
      <c r="E28" s="24" t="n">
        <f aca="false">E26*Inputs!$B$16</f>
        <v>288.523863517034</v>
      </c>
    </row>
    <row r="29" customFormat="false" ht="15" hidden="false" customHeight="false" outlineLevel="0" collapsed="false">
      <c r="A29" s="5" t="s">
        <v>83</v>
      </c>
      <c r="B29" s="2"/>
      <c r="C29" s="24" t="n">
        <f aca="false">Inputs!$B$14-Inputs!$B$27</f>
        <v>514</v>
      </c>
      <c r="D29" s="24" t="n">
        <f aca="false">Inputs!$B$14-Inputs!$B$27</f>
        <v>514</v>
      </c>
      <c r="E29" s="24" t="n">
        <f aca="false">Inputs!$B$14-Inputs!$B$27</f>
        <v>514</v>
      </c>
    </row>
    <row r="30" customFormat="false" ht="15" hidden="false" customHeight="false" outlineLevel="0" collapsed="false">
      <c r="A30" s="5" t="s">
        <v>84</v>
      </c>
      <c r="B30" s="2"/>
      <c r="C30" s="24" t="n">
        <f aca="false">Inputs!$B$15-Inputs!$B$26</f>
        <v>325</v>
      </c>
      <c r="D30" s="24" t="n">
        <f aca="false">Inputs!$B$15-Inputs!$B$26</f>
        <v>325</v>
      </c>
      <c r="E30" s="24" t="n">
        <f aca="false">Inputs!$B$15-Inputs!$B$26</f>
        <v>325</v>
      </c>
    </row>
    <row r="31" customFormat="false" ht="15" hidden="false" customHeight="false" outlineLevel="0" collapsed="false">
      <c r="A31" s="5" t="s">
        <v>85</v>
      </c>
      <c r="B31" s="2"/>
      <c r="C31" s="24" t="n">
        <f aca="false">MAX(0,C25-C29-C28)*Inputs!$B$17</f>
        <v>105.1259475</v>
      </c>
      <c r="D31" s="24" t="n">
        <f aca="false">MAX(0,D25-D29-D28)*Inputs!$B$17</f>
        <v>95.5506554699375</v>
      </c>
      <c r="E31" s="24" t="n">
        <f aca="false">MAX(0,E25-E29-E28)*Inputs!$B$17</f>
        <v>86.3684330383267</v>
      </c>
    </row>
    <row r="32" customFormat="false" ht="15" hidden="false" customHeight="false" outlineLevel="0" collapsed="false">
      <c r="A32" s="5" t="s">
        <v>86</v>
      </c>
      <c r="B32" s="2"/>
      <c r="C32" s="23" t="n">
        <f aca="false">Inputs!$B$18</f>
        <v>-50</v>
      </c>
      <c r="D32" s="23" t="n">
        <f aca="false">Inputs!$B$18</f>
        <v>-50</v>
      </c>
      <c r="E32" s="23" t="n">
        <f aca="false">Inputs!$B$18</f>
        <v>-50</v>
      </c>
    </row>
    <row r="33" customFormat="false" ht="15" hidden="false" customHeight="false" outlineLevel="0" collapsed="false">
      <c r="A33" s="12" t="s">
        <v>87</v>
      </c>
      <c r="B33" s="2"/>
      <c r="C33" s="27" t="n">
        <f aca="false">C25-C30-C28-C31+C32</f>
        <v>462.9595525</v>
      </c>
      <c r="D33" s="27" t="n">
        <f aca="false">D25-D30-D28-D31+D32</f>
        <v>433.452019917562</v>
      </c>
      <c r="E33" s="27" t="n">
        <f aca="false">E25-E30-E28-E31+E32</f>
        <v>405.155783444639</v>
      </c>
    </row>
    <row r="34" customFormat="false" ht="15" hidden="false" customHeight="false" outlineLevel="0" collapsed="false">
      <c r="A34" s="5" t="s">
        <v>98</v>
      </c>
      <c r="B34" s="2"/>
      <c r="C34" s="24" t="n">
        <f aca="false">MAX(0,C26-Inputs!$B$29*C25)</f>
        <v>1659.108</v>
      </c>
      <c r="D34" s="24" t="n">
        <f aca="false">MAX(0,D26-Inputs!$B$29*D25)</f>
        <v>1422.0580475</v>
      </c>
      <c r="E34" s="24" t="n">
        <f aca="false">MAX(0,E26-Inputs!$B$29*E25)</f>
        <v>1203.22014758244</v>
      </c>
    </row>
    <row r="35" customFormat="false" ht="15" hidden="false" customHeight="false" outlineLevel="0" collapsed="false">
      <c r="A35" s="5" t="s">
        <v>99</v>
      </c>
      <c r="B35" s="2"/>
      <c r="C35" s="24" t="n">
        <f aca="false">MAX(0,C33-C34)</f>
        <v>0</v>
      </c>
      <c r="D35" s="24" t="n">
        <f aca="false">MAX(0,D33-D34)</f>
        <v>0</v>
      </c>
      <c r="E35" s="24" t="n">
        <f aca="false">MAX(0,E33-E34)</f>
        <v>0</v>
      </c>
    </row>
    <row r="36" customFormat="false" ht="15" hidden="false" customHeight="false" outlineLevel="0" collapsed="false">
      <c r="A36" s="12" t="s">
        <v>89</v>
      </c>
      <c r="B36" s="2"/>
      <c r="C36" s="22" t="n">
        <f aca="false">C26-C33+C35</f>
        <v>5679.3404475</v>
      </c>
      <c r="D36" s="22" t="n">
        <f aca="false">D26-D33+D35</f>
        <v>5245.88842758244</v>
      </c>
      <c r="E36" s="22" t="n">
        <f aca="false">E26-E33+E35</f>
        <v>4840.7326441378</v>
      </c>
    </row>
    <row r="37" customFormat="false" ht="15" hidden="false" customHeight="false" outlineLevel="0" collapsed="false">
      <c r="A37" s="5" t="s">
        <v>100</v>
      </c>
      <c r="B37" s="2"/>
      <c r="C37" s="29" t="n">
        <f aca="false">MAX(1,((Inputs!$B$7-Inputs!$B$23-Inputs!$B$28)*Inputs!$B$30-C26)/C27)</f>
        <v>103.168789808917</v>
      </c>
      <c r="D37" s="29" t="n">
        <f aca="false">MAX(1,(C25*Inputs!$B$30-D26)/D27)</f>
        <v>103.911636772066</v>
      </c>
      <c r="E37" s="29" t="n">
        <f aca="false">MAX(1,(D25*Inputs!$B$30-E26)/E27)</f>
        <v>102.02554077383</v>
      </c>
    </row>
    <row r="38" customFormat="false" ht="15" hidden="false" customHeight="false" outlineLevel="0" collapsed="false">
      <c r="A38" s="5" t="s">
        <v>91</v>
      </c>
      <c r="B38" s="2"/>
      <c r="C38" s="26" t="n">
        <f aca="false">C35/C37</f>
        <v>0</v>
      </c>
      <c r="D38" s="26" t="n">
        <f aca="false">D35/D37</f>
        <v>0</v>
      </c>
      <c r="E38" s="26" t="n">
        <f aca="false">E35/E37</f>
        <v>0</v>
      </c>
    </row>
    <row r="39" customFormat="false" ht="15" hidden="false" customHeight="false" outlineLevel="0" collapsed="false">
      <c r="A39" s="12" t="s">
        <v>92</v>
      </c>
      <c r="B39" s="2"/>
      <c r="C39" s="30" t="n">
        <f aca="false">C27-C38</f>
        <v>43.96</v>
      </c>
      <c r="D39" s="30" t="n">
        <f aca="false">D27-D38</f>
        <v>43.96</v>
      </c>
      <c r="E39" s="30" t="n">
        <f aca="false">E27-E38</f>
        <v>43.96</v>
      </c>
    </row>
    <row r="40" customFormat="false" ht="15" hidden="false" customHeight="false" outlineLevel="0" collapsed="false">
      <c r="A40" s="5" t="s">
        <v>93</v>
      </c>
      <c r="B40" s="2"/>
      <c r="C40" s="14" t="n">
        <f aca="false">C36/C25</f>
        <v>4.43382562385238</v>
      </c>
      <c r="D40" s="14" t="n">
        <f aca="false">D36/D25</f>
        <v>4.31275348248886</v>
      </c>
      <c r="E40" s="14" t="n">
        <f aca="false">E36/E25</f>
        <v>4.1909360553526</v>
      </c>
    </row>
    <row r="41" customFormat="false" ht="15" hidden="false" customHeight="false" outlineLevel="0" collapsed="false">
      <c r="A41" s="2"/>
      <c r="B41" s="2"/>
      <c r="C41" s="2"/>
      <c r="D41" s="2"/>
      <c r="E41" s="2"/>
    </row>
    <row r="42" customFormat="false" ht="15" hidden="false" customHeight="false" outlineLevel="0" collapsed="false">
      <c r="A42" s="15" t="s">
        <v>101</v>
      </c>
      <c r="B42" s="20"/>
      <c r="C42" s="20"/>
      <c r="D42" s="20"/>
      <c r="E42" s="20"/>
    </row>
    <row r="43" customFormat="false" ht="15" hidden="false" customHeight="false" outlineLevel="0" collapsed="false">
      <c r="A43" s="2" t="s">
        <v>102</v>
      </c>
      <c r="B43" s="2"/>
      <c r="C43" s="31" t="n">
        <f aca="false">1615.9-439.5-419.1-MAX(0,1615.9-570.4-419.1)*Inputs!$B$17+Inputs!$B$18</f>
        <v>553.832</v>
      </c>
      <c r="D43" s="2"/>
      <c r="E43" s="2"/>
    </row>
    <row r="44" customFormat="false" ht="15" hidden="false" customHeight="false" outlineLevel="0" collapsed="false">
      <c r="A44" s="2" t="s">
        <v>103</v>
      </c>
      <c r="B44" s="2"/>
      <c r="C44" s="10" t="n">
        <v>553.1</v>
      </c>
      <c r="D44" s="2"/>
      <c r="E44" s="2"/>
    </row>
    <row r="45" customFormat="false" ht="15" hidden="false" customHeight="false" outlineLevel="0" collapsed="false">
      <c r="A45" s="2" t="s">
        <v>104</v>
      </c>
      <c r="B45" s="2"/>
      <c r="C45" s="31" t="n">
        <f aca="false">C43-C44</f>
        <v>0.732000000000085</v>
      </c>
      <c r="D45" s="2"/>
      <c r="E4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1" t="s">
        <v>106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12" t="s">
        <v>107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26.85" hidden="false" customHeight="false" outlineLevel="0" collapsed="false">
      <c r="A4" s="32" t="s">
        <v>108</v>
      </c>
      <c r="B4" s="32" t="s">
        <v>109</v>
      </c>
      <c r="C4" s="32" t="s">
        <v>110</v>
      </c>
      <c r="D4" s="32" t="s">
        <v>111</v>
      </c>
      <c r="E4" s="32" t="s">
        <v>112</v>
      </c>
      <c r="F4" s="32" t="s">
        <v>113</v>
      </c>
      <c r="G4" s="32" t="s">
        <v>114</v>
      </c>
      <c r="H4" s="32" t="s">
        <v>115</v>
      </c>
      <c r="I4" s="32" t="s">
        <v>116</v>
      </c>
      <c r="J4" s="32" t="s">
        <v>117</v>
      </c>
    </row>
    <row r="5" customFormat="false" ht="15" hidden="false" customHeight="false" outlineLevel="0" collapsed="false">
      <c r="A5" s="2" t="s">
        <v>118</v>
      </c>
      <c r="B5" s="33" t="n">
        <f aca="false">Inputs!$B$19</f>
        <v>7.25503162162162</v>
      </c>
      <c r="C5" s="23" t="n">
        <f aca="false">Model_Base!$E$7</f>
        <v>1450.548</v>
      </c>
      <c r="D5" s="31" t="n">
        <f aca="false">B5*C5</f>
        <v>10523.77160868</v>
      </c>
      <c r="E5" s="23" t="n">
        <f aca="false">Model_Base!$E$17</f>
        <v>7213.536</v>
      </c>
      <c r="F5" s="31" t="n">
        <f aca="false">D5-E5</f>
        <v>3310.23560868</v>
      </c>
      <c r="G5" s="25" t="n">
        <f aca="false">Model_Base!$E$20</f>
        <v>27.4153213519655</v>
      </c>
      <c r="H5" s="34" t="n">
        <f aca="false">IF(G5&gt;0,F5/G5,0)</f>
        <v>120.744001727438</v>
      </c>
      <c r="I5" s="35" t="n">
        <f aca="false">H5/Inputs!$B$4-1</f>
        <v>0.571573626544817</v>
      </c>
      <c r="J5" s="35" t="n">
        <f aca="false">IF(H5&gt;0,(H5/Inputs!$B$4)^(1/3)-1,-1)</f>
        <v>0.162639063407383</v>
      </c>
    </row>
    <row r="6" customFormat="false" ht="15" hidden="false" customHeight="false" outlineLevel="0" collapsed="false">
      <c r="A6" s="2" t="s">
        <v>119</v>
      </c>
      <c r="B6" s="33" t="n">
        <f aca="false">Inputs!$B$19</f>
        <v>7.25503162162162</v>
      </c>
      <c r="C6" s="23" t="n">
        <f aca="false">Model_Base!$E$25</f>
        <v>1307.94047</v>
      </c>
      <c r="D6" s="31" t="n">
        <f aca="false">B6*C6</f>
        <v>9489.14946904865</v>
      </c>
      <c r="E6" s="23" t="n">
        <f aca="false">Model_Base!$E$36</f>
        <v>4598.76854728155</v>
      </c>
      <c r="F6" s="31" t="n">
        <f aca="false">D6-E6</f>
        <v>4890.38092176709</v>
      </c>
      <c r="G6" s="25" t="n">
        <f aca="false">Model_Base!$E$39</f>
        <v>43.96</v>
      </c>
      <c r="H6" s="34" t="n">
        <f aca="false">IF(G6&gt;0,F6/G6,0)</f>
        <v>111.246153816358</v>
      </c>
      <c r="I6" s="35" t="n">
        <f aca="false">H6/Inputs!$B$4-1</f>
        <v>0.447952021558739</v>
      </c>
      <c r="J6" s="35" t="n">
        <f aca="false">IF(H6&gt;0,(H6/Inputs!$B$4)^(1/3)-1,-1)</f>
        <v>0.131318069751004</v>
      </c>
    </row>
    <row r="7" customFormat="false" ht="15" hidden="false" customHeight="false" outlineLevel="0" collapsed="false">
      <c r="A7" s="2" t="s">
        <v>120</v>
      </c>
      <c r="B7" s="33" t="n">
        <f aca="false">Inputs!$B$30</f>
        <v>8</v>
      </c>
      <c r="C7" s="23" t="n">
        <f aca="false">Model_Base!$E$25</f>
        <v>1307.94047</v>
      </c>
      <c r="D7" s="31" t="n">
        <f aca="false">B7*C7</f>
        <v>10463.52376</v>
      </c>
      <c r="E7" s="23" t="n">
        <f aca="false">Model_Base!$E$36</f>
        <v>4598.76854728155</v>
      </c>
      <c r="F7" s="31" t="n">
        <f aca="false">D7-E7</f>
        <v>5864.75521271845</v>
      </c>
      <c r="G7" s="25" t="n">
        <f aca="false">Model_Base!$E$39</f>
        <v>43.96</v>
      </c>
      <c r="H7" s="34" t="n">
        <f aca="false">IF(G7&gt;0,F7/G7,0)</f>
        <v>133.411174083677</v>
      </c>
      <c r="I7" s="35" t="n">
        <f aca="false">H7/Inputs!$B$4-1</f>
        <v>0.73644636318726</v>
      </c>
      <c r="J7" s="35" t="n">
        <f aca="false">IF(H7&gt;0,(H7/Inputs!$B$4)^(1/3)-1,-1)</f>
        <v>0.201951999689702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</row>
    <row r="9" customFormat="false" ht="15" hidden="false" customHeight="false" outlineLevel="0" collapsed="false">
      <c r="A9" s="12" t="s">
        <v>121</v>
      </c>
      <c r="B9" s="2"/>
      <c r="C9" s="2"/>
      <c r="D9" s="2"/>
      <c r="E9" s="2"/>
      <c r="F9" s="2"/>
      <c r="G9" s="2"/>
      <c r="H9" s="2"/>
      <c r="I9" s="2"/>
      <c r="J9" s="2"/>
    </row>
    <row r="10" customFormat="false" ht="26.85" hidden="false" customHeight="false" outlineLevel="0" collapsed="false">
      <c r="A10" s="32" t="s">
        <v>108</v>
      </c>
      <c r="B10" s="32" t="s">
        <v>109</v>
      </c>
      <c r="C10" s="32" t="s">
        <v>110</v>
      </c>
      <c r="D10" s="32" t="s">
        <v>111</v>
      </c>
      <c r="E10" s="32" t="s">
        <v>112</v>
      </c>
      <c r="F10" s="32" t="s">
        <v>113</v>
      </c>
      <c r="G10" s="32" t="s">
        <v>114</v>
      </c>
      <c r="H10" s="32" t="s">
        <v>115</v>
      </c>
      <c r="I10" s="32" t="s">
        <v>116</v>
      </c>
      <c r="J10" s="32" t="s">
        <v>117</v>
      </c>
    </row>
    <row r="11" customFormat="false" ht="15" hidden="false" customHeight="false" outlineLevel="0" collapsed="false">
      <c r="A11" s="2" t="s">
        <v>118</v>
      </c>
      <c r="B11" s="33" t="n">
        <f aca="false">Inputs!$B$19</f>
        <v>7.25503162162162</v>
      </c>
      <c r="C11" s="23" t="n">
        <f aca="false">Model_Downside!$E$7</f>
        <v>1282.272</v>
      </c>
      <c r="D11" s="31" t="n">
        <f aca="false">B11*C11</f>
        <v>9302.92390752</v>
      </c>
      <c r="E11" s="23" t="n">
        <f aca="false">Model_Downside!$E$17</f>
        <v>6376.704</v>
      </c>
      <c r="F11" s="31" t="n">
        <f aca="false">D11-E11</f>
        <v>2926.21990752</v>
      </c>
      <c r="G11" s="25" t="n">
        <f aca="false">Model_Downside!$E$20</f>
        <v>38.6582971574866</v>
      </c>
      <c r="H11" s="34" t="n">
        <f aca="false">IF(G11&gt;0,F11/G11,0)</f>
        <v>75.6944853416366</v>
      </c>
      <c r="I11" s="35" t="n">
        <f aca="false">H11/Inputs!$B$4-1</f>
        <v>-0.0147795738430738</v>
      </c>
      <c r="J11" s="35" t="n">
        <f aca="false">IF(H11&gt;0,(H11/Inputs!$B$4)^(1/3)-1,-1)</f>
        <v>-0.00495099652742514</v>
      </c>
    </row>
    <row r="12" customFormat="false" ht="15" hidden="false" customHeight="false" outlineLevel="0" collapsed="false">
      <c r="A12" s="2" t="s">
        <v>119</v>
      </c>
      <c r="B12" s="33" t="n">
        <f aca="false">Inputs!$B$19</f>
        <v>7.25503162162162</v>
      </c>
      <c r="C12" s="23" t="n">
        <f aca="false">Model_Downside!$E$25</f>
        <v>1155.04808</v>
      </c>
      <c r="D12" s="31" t="n">
        <f aca="false">B12*C12</f>
        <v>8379.91034489334</v>
      </c>
      <c r="E12" s="23" t="n">
        <f aca="false">Model_Downside!$E$36</f>
        <v>4840.7326441378</v>
      </c>
      <c r="F12" s="31" t="n">
        <f aca="false">D12-E12</f>
        <v>3539.17770075554</v>
      </c>
      <c r="G12" s="25" t="n">
        <f aca="false">Model_Downside!$E$39</f>
        <v>43.96</v>
      </c>
      <c r="H12" s="34" t="n">
        <f aca="false">IF(G12&gt;0,F12/G12,0)</f>
        <v>80.5090468779695</v>
      </c>
      <c r="I12" s="35" t="n">
        <f aca="false">H12/Inputs!$B$4-1</f>
        <v>0.0478855509302296</v>
      </c>
      <c r="J12" s="35" t="n">
        <f aca="false">IF(H12&gt;0,(H12/Inputs!$B$4)^(1/3)-1,-1)</f>
        <v>0.0157136385447423</v>
      </c>
    </row>
    <row r="13" customFormat="false" ht="15" hidden="false" customHeight="false" outlineLevel="0" collapsed="false">
      <c r="A13" s="2" t="s">
        <v>120</v>
      </c>
      <c r="B13" s="33" t="n">
        <f aca="false">Inputs!$B$30</f>
        <v>8</v>
      </c>
      <c r="C13" s="23" t="n">
        <f aca="false">Model_Downside!$E$25</f>
        <v>1155.04808</v>
      </c>
      <c r="D13" s="31" t="n">
        <f aca="false">B13*C13</f>
        <v>9240.38464</v>
      </c>
      <c r="E13" s="23" t="n">
        <f aca="false">Model_Downside!$E$36</f>
        <v>4840.7326441378</v>
      </c>
      <c r="F13" s="31" t="n">
        <f aca="false">D13-E13</f>
        <v>4399.6519958622</v>
      </c>
      <c r="G13" s="25" t="n">
        <f aca="false">Model_Downside!$E$39</f>
        <v>43.96</v>
      </c>
      <c r="H13" s="34" t="n">
        <f aca="false">IF(G13&gt;0,F13/G13,0)</f>
        <v>100.083075429076</v>
      </c>
      <c r="I13" s="35" t="n">
        <f aca="false">H13/Inputs!$B$4-1</f>
        <v>0.302656194573428</v>
      </c>
      <c r="J13" s="35" t="n">
        <f aca="false">IF(H13&gt;0,(H13/Inputs!$B$4)^(1/3)-1,-1)</f>
        <v>0.0921356983653212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12" t="s">
        <v>122</v>
      </c>
      <c r="B15" s="2"/>
      <c r="C15" s="2"/>
      <c r="D15" s="2"/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12" t="s">
        <v>123</v>
      </c>
      <c r="B16" s="36" t="n">
        <f aca="false">Inputs!$B$4</f>
        <v>76.83</v>
      </c>
      <c r="C16" s="2"/>
      <c r="D16" s="2"/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5" t="s">
        <v>124</v>
      </c>
      <c r="B17" s="36" t="n">
        <f aca="false">H5-Inputs!$B$4</f>
        <v>43.9140017274383</v>
      </c>
      <c r="C17" s="2"/>
      <c r="D17" s="2"/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5" t="s">
        <v>125</v>
      </c>
      <c r="B18" s="36" t="n">
        <f aca="false">H6-H5</f>
        <v>-9.49784791108039</v>
      </c>
      <c r="C18" s="2"/>
      <c r="D18" s="2"/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5" t="s">
        <v>126</v>
      </c>
      <c r="B19" s="36" t="n">
        <f aca="false">H7-H6</f>
        <v>22.1650202673193</v>
      </c>
      <c r="C19" s="2"/>
      <c r="D19" s="2"/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12" t="s">
        <v>127</v>
      </c>
      <c r="B20" s="37" t="n">
        <f aca="false">SUM(B16:B19)</f>
        <v>133.411174083677</v>
      </c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12" t="s">
        <v>128</v>
      </c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 t="s">
        <v>129</v>
      </c>
      <c r="B23" s="35" t="n">
        <f aca="false">H11/H5-1</f>
        <v>-0.373099414805667</v>
      </c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 t="s">
        <v>130</v>
      </c>
      <c r="B24" s="35" t="n">
        <f aca="false">H12/H6-1</f>
        <v>-0.276298153993965</v>
      </c>
      <c r="C24" s="2"/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 t="s">
        <v>131</v>
      </c>
      <c r="B25" s="33" t="n">
        <f aca="false">Model_Downside!$E$21</f>
        <v>4.97297297297297</v>
      </c>
      <c r="C25" s="2"/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 t="s">
        <v>132</v>
      </c>
      <c r="B26" s="33" t="n">
        <f aca="false">Model_Downside!$E$40</f>
        <v>4.1909360553526</v>
      </c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12" t="s">
        <v>133</v>
      </c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4" t="s">
        <v>134</v>
      </c>
      <c r="B29" s="4" t="s">
        <v>135</v>
      </c>
      <c r="C29" s="4" t="s">
        <v>136</v>
      </c>
      <c r="D29" s="2"/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38" t="n">
        <v>6</v>
      </c>
      <c r="B30" s="36" t="n">
        <f aca="false">(A30*Model_Base!$E$7-Model_Base!$E$17)/Model_Base!$E$20</f>
        <v>54.3401253946343</v>
      </c>
      <c r="C30" s="36" t="n">
        <f aca="false">(A30*Model_Base!$E$25-Model_Base!$E$36)/Model_Base!$E$39</f>
        <v>73.9052382329037</v>
      </c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38" t="n">
        <v>6.5</v>
      </c>
      <c r="B31" s="36" t="n">
        <f aca="false">(A31*Model_Base!$E$7-Model_Base!$E$17)/Model_Base!$E$20</f>
        <v>80.795186442022</v>
      </c>
      <c r="C31" s="36" t="n">
        <f aca="false">(A31*Model_Base!$E$25-Model_Base!$E$36)/Model_Base!$E$39</f>
        <v>88.7817221955971</v>
      </c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38" t="n">
        <v>7</v>
      </c>
      <c r="B32" s="36" t="n">
        <f aca="false">(A32*Model_Base!$E$7-Model_Base!$E$17)/Model_Base!$E$20</f>
        <v>107.25024748941</v>
      </c>
      <c r="C32" s="36" t="n">
        <f aca="false">(A32*Model_Base!$E$25-Model_Base!$E$36)/Model_Base!$E$39</f>
        <v>103.65820615829</v>
      </c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38" t="n">
        <v>7.5</v>
      </c>
      <c r="B33" s="36" t="n">
        <f aca="false">(A33*Model_Base!$E$7-Model_Base!$E$17)/Model_Base!$E$20</f>
        <v>133.705308536797</v>
      </c>
      <c r="C33" s="36" t="n">
        <f aca="false">(A33*Model_Base!$E$25-Model_Base!$E$36)/Model_Base!$E$39</f>
        <v>118.534690120984</v>
      </c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38" t="n">
        <v>8</v>
      </c>
      <c r="B34" s="36" t="n">
        <f aca="false">(A34*Model_Base!$E$7-Model_Base!$E$17)/Model_Base!$E$20</f>
        <v>160.160369584185</v>
      </c>
      <c r="C34" s="36" t="n">
        <f aca="false">(A34*Model_Base!$E$25-Model_Base!$E$36)/Model_Base!$E$39</f>
        <v>133.411174083677</v>
      </c>
      <c r="D34" s="2"/>
      <c r="E34" s="2"/>
      <c r="F34" s="2"/>
      <c r="G34" s="2"/>
      <c r="H34" s="2"/>
      <c r="I34" s="2"/>
      <c r="J34" s="2"/>
    </row>
    <row r="35" customFormat="false" ht="15" hidden="false" customHeight="false" outlineLevel="0" collapsed="false">
      <c r="A35" s="38" t="n">
        <v>8.5</v>
      </c>
      <c r="B35" s="36" t="n">
        <f aca="false">(A35*Model_Base!$E$7-Model_Base!$E$17)/Model_Base!$E$20</f>
        <v>186.615430631573</v>
      </c>
      <c r="C35" s="36" t="n">
        <f aca="false">(A35*Model_Base!$E$25-Model_Base!$E$36)/Model_Base!$E$39</f>
        <v>148.287658046371</v>
      </c>
      <c r="D35" s="2"/>
      <c r="E35" s="2"/>
      <c r="F35" s="2"/>
      <c r="G35" s="2"/>
      <c r="H35" s="2"/>
      <c r="I35" s="2"/>
      <c r="J35" s="2"/>
    </row>
    <row r="36" customFormat="false" ht="15" hidden="false" customHeight="false" outlineLevel="0" collapsed="false">
      <c r="A36" s="38" t="n">
        <v>9</v>
      </c>
      <c r="B36" s="36" t="n">
        <f aca="false">(A36*Model_Base!$E$7-Model_Base!$E$17)/Model_Base!$E$20</f>
        <v>213.070491678961</v>
      </c>
      <c r="C36" s="36" t="n">
        <f aca="false">(A36*Model_Base!$E$25-Model_Base!$E$36)/Model_Base!$E$39</f>
        <v>163.164142009064</v>
      </c>
      <c r="D36" s="2"/>
      <c r="E36" s="2"/>
      <c r="F36" s="2"/>
      <c r="G36" s="2"/>
      <c r="H36" s="2"/>
      <c r="I36" s="2"/>
      <c r="J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5" hidden="false" customHeight="false" outlineLevel="0" collapsed="false">
      <c r="A38" s="7" t="s">
        <v>137</v>
      </c>
      <c r="B38" s="2"/>
      <c r="C38" s="2"/>
      <c r="D38" s="2"/>
      <c r="E38" s="2"/>
      <c r="F38" s="2"/>
      <c r="G38" s="2"/>
      <c r="H38" s="2"/>
      <c r="I38" s="2"/>
      <c r="J3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7"/>
  </cols>
  <sheetData>
    <row r="1" customFormat="false" ht="17.35" hidden="false" customHeight="false" outlineLevel="0" collapsed="false">
      <c r="A1" s="1" t="s">
        <v>138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139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140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2" t="s">
        <v>141</v>
      </c>
      <c r="B5" s="10" t="n">
        <v>500</v>
      </c>
      <c r="C5" s="2"/>
      <c r="D5" s="2"/>
      <c r="E5" s="39" t="s">
        <v>142</v>
      </c>
      <c r="F5" s="8" t="s">
        <v>143</v>
      </c>
    </row>
    <row r="6" customFormat="false" ht="15" hidden="false" customHeight="false" outlineLevel="0" collapsed="false">
      <c r="A6" s="2" t="s">
        <v>144</v>
      </c>
      <c r="B6" s="10" t="n">
        <v>30</v>
      </c>
      <c r="C6" s="2"/>
      <c r="D6" s="2"/>
      <c r="E6" s="7" t="s">
        <v>145</v>
      </c>
      <c r="F6" s="8" t="s">
        <v>27</v>
      </c>
    </row>
    <row r="7" customFormat="false" ht="15" hidden="false" customHeight="false" outlineLevel="0" collapsed="false">
      <c r="A7" s="2" t="s">
        <v>146</v>
      </c>
      <c r="B7" s="10" t="n">
        <v>75</v>
      </c>
      <c r="C7" s="2"/>
      <c r="D7" s="2"/>
      <c r="E7" s="7" t="s">
        <v>147</v>
      </c>
      <c r="F7" s="8" t="s">
        <v>27</v>
      </c>
    </row>
    <row r="8" customFormat="false" ht="15" hidden="false" customHeight="false" outlineLevel="0" collapsed="false">
      <c r="A8" s="2" t="s">
        <v>148</v>
      </c>
      <c r="B8" s="17" t="n">
        <v>3</v>
      </c>
      <c r="C8" s="2"/>
      <c r="D8" s="2"/>
      <c r="E8" s="7" t="s">
        <v>149</v>
      </c>
      <c r="F8" s="8" t="s">
        <v>27</v>
      </c>
    </row>
    <row r="9" customFormat="false" ht="15" hidden="false" customHeight="false" outlineLevel="0" collapsed="false">
      <c r="A9" s="2" t="s">
        <v>150</v>
      </c>
      <c r="B9" s="17" t="n">
        <v>9.5</v>
      </c>
      <c r="C9" s="2"/>
      <c r="D9" s="2"/>
      <c r="E9" s="7" t="s">
        <v>151</v>
      </c>
      <c r="F9" s="8" t="s">
        <v>152</v>
      </c>
    </row>
    <row r="10" customFormat="false" ht="15" hidden="false" customHeight="false" outlineLevel="0" collapsed="false">
      <c r="A10" s="2" t="s">
        <v>153</v>
      </c>
      <c r="B10" s="40" t="n">
        <f aca="false">Inputs!B19</f>
        <v>7.25503162162162</v>
      </c>
      <c r="C10" s="2"/>
      <c r="D10" s="2"/>
      <c r="E10" s="7" t="s">
        <v>154</v>
      </c>
      <c r="F10" s="8" t="s">
        <v>155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31.5" hidden="false" customHeight="true" outlineLevel="0" collapsed="false">
      <c r="A12" s="15" t="s">
        <v>156</v>
      </c>
      <c r="B12" s="32" t="s">
        <v>157</v>
      </c>
      <c r="C12" s="32" t="s">
        <v>158</v>
      </c>
      <c r="D12" s="32" t="s">
        <v>159</v>
      </c>
      <c r="E12" s="2"/>
      <c r="F12" s="2"/>
    </row>
    <row r="13" customFormat="false" ht="15" hidden="false" customHeight="false" outlineLevel="0" collapsed="false">
      <c r="A13" s="5" t="s">
        <v>160</v>
      </c>
      <c r="B13" s="24" t="n">
        <f aca="false">Inputs!$B$7-Inputs!$B$23-Inputs!$B$28</f>
        <v>1334.7</v>
      </c>
      <c r="C13" s="23" t="n">
        <f aca="false">Model_Base!$E$25</f>
        <v>1307.94047</v>
      </c>
      <c r="D13" s="24" t="n">
        <f aca="false">Model_Downside!$E$25</f>
        <v>1155.04808</v>
      </c>
      <c r="E13" s="2"/>
      <c r="F13" s="2"/>
    </row>
    <row r="14" customFormat="false" ht="15" hidden="false" customHeight="false" outlineLevel="0" collapsed="false">
      <c r="A14" s="5" t="s">
        <v>161</v>
      </c>
      <c r="B14" s="24" t="n">
        <f aca="false">$B$5</f>
        <v>500</v>
      </c>
      <c r="C14" s="24" t="n">
        <f aca="false">$B$5*(1+Model_Base!$C$6)*(1+Model_Base!$D$6)*(1+Model_Base!$E$6)</f>
        <v>490.05</v>
      </c>
      <c r="D14" s="24" t="n">
        <f aca="false">$B$5*(1+Model_Downside!$C$6)*(1+Model_Downside!$D$6)*(1+Model_Downside!$E$6)</f>
        <v>433.2</v>
      </c>
      <c r="E14" s="2"/>
      <c r="F14" s="2"/>
    </row>
    <row r="15" customFormat="false" ht="15" hidden="false" customHeight="false" outlineLevel="0" collapsed="false">
      <c r="A15" s="5" t="s">
        <v>162</v>
      </c>
      <c r="B15" s="24" t="n">
        <f aca="false">-$B$6</f>
        <v>-30</v>
      </c>
      <c r="C15" s="24" t="n">
        <f aca="false">-$B$6</f>
        <v>-30</v>
      </c>
      <c r="D15" s="24" t="n">
        <f aca="false">-$B$6</f>
        <v>-30</v>
      </c>
      <c r="E15" s="2"/>
      <c r="F15" s="2"/>
    </row>
    <row r="16" customFormat="false" ht="15" hidden="false" customHeight="false" outlineLevel="0" collapsed="false">
      <c r="A16" s="12" t="s">
        <v>163</v>
      </c>
      <c r="B16" s="22" t="n">
        <f aca="false">B14+B15</f>
        <v>470</v>
      </c>
      <c r="C16" s="22" t="n">
        <f aca="false">C14+C15</f>
        <v>460.05</v>
      </c>
      <c r="D16" s="22" t="n">
        <f aca="false">D14+D15</f>
        <v>403.2</v>
      </c>
      <c r="E16" s="2"/>
      <c r="F16" s="2"/>
    </row>
    <row r="17" customFormat="false" ht="15" hidden="false" customHeight="false" outlineLevel="0" collapsed="false">
      <c r="A17" s="12" t="s">
        <v>164</v>
      </c>
      <c r="B17" s="22" t="n">
        <f aca="false">B13-B14</f>
        <v>834.7</v>
      </c>
      <c r="C17" s="22" t="n">
        <f aca="false">C13-C14</f>
        <v>817.89047</v>
      </c>
      <c r="D17" s="22" t="n">
        <f aca="false">D13-D14</f>
        <v>721.84808</v>
      </c>
      <c r="E17" s="2"/>
      <c r="F17" s="2"/>
    </row>
    <row r="18" customFormat="false" ht="15" hidden="false" customHeight="false" outlineLevel="0" collapsed="false">
      <c r="A18" s="5" t="s">
        <v>165</v>
      </c>
      <c r="B18" s="24" t="n">
        <f aca="false">Inputs!$B$6-Inputs!$B$23*Inputs!$B$24*(1-Inputs!$B$25)</f>
        <v>6142.3</v>
      </c>
      <c r="C18" s="23" t="n">
        <f aca="false">Model_Base!$E$36</f>
        <v>4598.76854728155</v>
      </c>
      <c r="D18" s="24" t="n">
        <f aca="false">Model_Downside!$E$36</f>
        <v>4840.7326441378</v>
      </c>
      <c r="E18" s="2"/>
      <c r="F18" s="2"/>
    </row>
    <row r="19" customFormat="false" ht="15" hidden="false" customHeight="false" outlineLevel="0" collapsed="false">
      <c r="A19" s="5" t="s">
        <v>166</v>
      </c>
      <c r="B19" s="24" t="n">
        <f aca="false">$B$7</f>
        <v>75</v>
      </c>
      <c r="C19" s="24" t="n">
        <f aca="false">$B$7</f>
        <v>75</v>
      </c>
      <c r="D19" s="24" t="n">
        <f aca="false">$B$7</f>
        <v>75</v>
      </c>
      <c r="E19" s="2"/>
      <c r="F19" s="2"/>
    </row>
    <row r="20" customFormat="false" ht="15" hidden="false" customHeight="false" outlineLevel="0" collapsed="false">
      <c r="A20" s="5" t="s">
        <v>167</v>
      </c>
      <c r="B20" s="24" t="n">
        <f aca="false">$B$8*B16</f>
        <v>1410</v>
      </c>
      <c r="C20" s="24" t="n">
        <f aca="false">$B$8*C16</f>
        <v>1380.15</v>
      </c>
      <c r="D20" s="24" t="n">
        <f aca="false">$B$8*D16</f>
        <v>1209.6</v>
      </c>
      <c r="E20" s="2"/>
      <c r="F20" s="2"/>
    </row>
    <row r="21" customFormat="false" ht="15" hidden="false" customHeight="false" outlineLevel="0" collapsed="false">
      <c r="A21" s="5" t="s">
        <v>168</v>
      </c>
      <c r="B21" s="24" t="n">
        <f aca="false">B18+B19-B20</f>
        <v>4807.3</v>
      </c>
      <c r="C21" s="24" t="n">
        <f aca="false">C18+C19-C20</f>
        <v>3293.61854728155</v>
      </c>
      <c r="D21" s="24" t="n">
        <f aca="false">D18+D19-D20</f>
        <v>3706.1326441378</v>
      </c>
      <c r="E21" s="2"/>
      <c r="F21" s="2"/>
    </row>
    <row r="22" customFormat="false" ht="15" hidden="false" customHeight="false" outlineLevel="0" collapsed="false">
      <c r="A22" s="12" t="s">
        <v>169</v>
      </c>
      <c r="B22" s="41" t="n">
        <f aca="false">B21/B17</f>
        <v>5.75931472385288</v>
      </c>
      <c r="C22" s="41" t="n">
        <f aca="false">C21/C17</f>
        <v>4.02696775190638</v>
      </c>
      <c r="D22" s="41" t="n">
        <f aca="false">D21/D17</f>
        <v>5.13422802778363</v>
      </c>
      <c r="E22" s="2"/>
      <c r="F22" s="2"/>
    </row>
    <row r="23" customFormat="false" ht="15" hidden="false" customHeight="false" outlineLevel="0" collapsed="false">
      <c r="A23" s="5" t="s">
        <v>170</v>
      </c>
      <c r="B23" s="24" t="n">
        <f aca="false">$B$9*B16</f>
        <v>4465</v>
      </c>
      <c r="C23" s="24" t="n">
        <f aca="false">$B$9*C16</f>
        <v>4370.475</v>
      </c>
      <c r="D23" s="24" t="n">
        <f aca="false">$B$9*D16</f>
        <v>3830.4</v>
      </c>
      <c r="E23" s="2"/>
      <c r="F23" s="2"/>
    </row>
    <row r="24" customFormat="false" ht="15" hidden="false" customHeight="false" outlineLevel="0" collapsed="false">
      <c r="A24" s="5" t="s">
        <v>171</v>
      </c>
      <c r="B24" s="24" t="n">
        <f aca="false">B23-B20</f>
        <v>3055</v>
      </c>
      <c r="C24" s="24" t="n">
        <f aca="false">C23-C20</f>
        <v>2990.325</v>
      </c>
      <c r="D24" s="24" t="n">
        <f aca="false">D23-D20</f>
        <v>2620.8</v>
      </c>
      <c r="E24" s="2"/>
      <c r="F24" s="2"/>
    </row>
    <row r="25" customFormat="false" ht="15" hidden="false" customHeight="false" outlineLevel="0" collapsed="false">
      <c r="A25" s="5" t="s">
        <v>172</v>
      </c>
      <c r="B25" s="24" t="n">
        <f aca="false">$B$10*B17</f>
        <v>6055.77489456757</v>
      </c>
      <c r="C25" s="24" t="n">
        <f aca="false">$B$10*C17</f>
        <v>5933.82122287297</v>
      </c>
      <c r="D25" s="24" t="n">
        <f aca="false">$B$10*D17</f>
        <v>5237.03064640685</v>
      </c>
      <c r="E25" s="2"/>
      <c r="F25" s="2"/>
    </row>
    <row r="26" customFormat="false" ht="15" hidden="false" customHeight="false" outlineLevel="0" collapsed="false">
      <c r="A26" s="5" t="s">
        <v>173</v>
      </c>
      <c r="B26" s="24" t="n">
        <f aca="false">B25-B21</f>
        <v>1248.47489456757</v>
      </c>
      <c r="C26" s="24" t="n">
        <f aca="false">C25-C21</f>
        <v>2640.20267559142</v>
      </c>
      <c r="D26" s="24" t="n">
        <f aca="false">D25-D21</f>
        <v>1530.89800226905</v>
      </c>
      <c r="E26" s="2"/>
      <c r="F26" s="2"/>
    </row>
    <row r="27" customFormat="false" ht="15" hidden="false" customHeight="false" outlineLevel="0" collapsed="false">
      <c r="A27" s="12" t="s">
        <v>174</v>
      </c>
      <c r="B27" s="22" t="n">
        <f aca="false">B24+B26</f>
        <v>4303.47489456757</v>
      </c>
      <c r="C27" s="22" t="n">
        <f aca="false">C24+C26</f>
        <v>5630.52767559142</v>
      </c>
      <c r="D27" s="22" t="n">
        <f aca="false">D24+D26</f>
        <v>4151.69800226906</v>
      </c>
      <c r="E27" s="2"/>
      <c r="F27" s="2"/>
    </row>
    <row r="28" customFormat="false" ht="15" hidden="false" customHeight="false" outlineLevel="0" collapsed="false">
      <c r="A28" s="5" t="s">
        <v>175</v>
      </c>
      <c r="B28" s="25" t="n">
        <f aca="false">Inputs!$B$5</f>
        <v>43.96</v>
      </c>
      <c r="C28" s="25" t="n">
        <f aca="false">Model_Base!$E$39</f>
        <v>43.96</v>
      </c>
      <c r="D28" s="26" t="n">
        <f aca="false">Model_Downside!$E$39</f>
        <v>43.96</v>
      </c>
      <c r="E28" s="2"/>
      <c r="F28" s="2"/>
    </row>
    <row r="29" customFormat="false" ht="15" hidden="false" customHeight="false" outlineLevel="0" collapsed="false">
      <c r="A29" s="12" t="s">
        <v>176</v>
      </c>
      <c r="B29" s="34" t="n">
        <f aca="false">B27/B28</f>
        <v>97.895243279517</v>
      </c>
      <c r="C29" s="34" t="n">
        <f aca="false">C27/C28</f>
        <v>128.082977151761</v>
      </c>
      <c r="D29" s="34" t="n">
        <f aca="false">D27/D28</f>
        <v>94.4426297149467</v>
      </c>
      <c r="E29" s="2"/>
      <c r="F29" s="2"/>
    </row>
    <row r="30" customFormat="false" ht="15" hidden="false" customHeight="false" outlineLevel="0" collapsed="false">
      <c r="A30" s="5" t="s">
        <v>177</v>
      </c>
      <c r="B30" s="28" t="n">
        <f aca="false">Inputs!$B$4</f>
        <v>76.83</v>
      </c>
      <c r="C30" s="28" t="n">
        <f aca="false">Valuation!$H$6</f>
        <v>111.246153816358</v>
      </c>
      <c r="D30" s="29" t="n">
        <f aca="false">Valuation!$H$12</f>
        <v>80.5090468779695</v>
      </c>
      <c r="E30" s="2"/>
      <c r="F30" s="2"/>
    </row>
    <row r="31" customFormat="false" ht="15" hidden="false" customHeight="false" outlineLevel="0" collapsed="false">
      <c r="A31" s="12" t="s">
        <v>178</v>
      </c>
      <c r="B31" s="34" t="n">
        <f aca="false">B29-B30</f>
        <v>21.065243279517</v>
      </c>
      <c r="C31" s="34" t="n">
        <f aca="false">C29-C30</f>
        <v>16.8368233354032</v>
      </c>
      <c r="D31" s="34" t="n">
        <f aca="false">D29-D30</f>
        <v>13.9335828369771</v>
      </c>
      <c r="E31" s="2"/>
      <c r="F31" s="2"/>
    </row>
    <row r="32" customFormat="false" ht="15" hidden="false" customHeight="false" outlineLevel="0" collapsed="false">
      <c r="A32" s="5" t="s">
        <v>179</v>
      </c>
      <c r="B32" s="14" t="n">
        <f aca="false">(B23+B25)/B13</f>
        <v>7.88250160677873</v>
      </c>
      <c r="C32" s="14" t="n">
        <f aca="false">(C23+C25)/C13</f>
        <v>7.87826086830463</v>
      </c>
      <c r="D32" s="14" t="n">
        <f aca="false">(D23+D25)/D13</f>
        <v>7.85026251583125</v>
      </c>
      <c r="E32" s="2"/>
      <c r="F32" s="2"/>
    </row>
    <row r="33" customFormat="false" ht="15" hidden="false" customHeight="false" outlineLevel="0" collapsed="false">
      <c r="A33" s="7" t="s">
        <v>180</v>
      </c>
      <c r="B33" s="2"/>
      <c r="C33" s="2"/>
      <c r="D33" s="2"/>
      <c r="E33" s="2"/>
      <c r="F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</row>
    <row r="35" customFormat="false" ht="15" hidden="false" customHeight="false" outlineLevel="0" collapsed="false">
      <c r="A35" s="12" t="s">
        <v>181</v>
      </c>
      <c r="B35" s="2"/>
      <c r="C35" s="2"/>
      <c r="D35" s="2"/>
      <c r="E35" s="2"/>
      <c r="F35" s="2"/>
    </row>
    <row r="36" customFormat="false" ht="15" hidden="false" customHeight="false" outlineLevel="0" collapsed="false">
      <c r="A36" s="4" t="s">
        <v>182</v>
      </c>
      <c r="B36" s="42" t="n">
        <v>8.5</v>
      </c>
      <c r="C36" s="42" t="n">
        <v>9</v>
      </c>
      <c r="D36" s="42" t="n">
        <v>9.5</v>
      </c>
      <c r="E36" s="42" t="n">
        <v>10</v>
      </c>
      <c r="F36" s="42" t="n">
        <v>10.5</v>
      </c>
    </row>
    <row r="37" customFormat="false" ht="15" hidden="false" customHeight="false" outlineLevel="0" collapsed="false">
      <c r="A37" s="38" t="n">
        <v>6.5</v>
      </c>
      <c r="B37" s="36" t="n">
        <f aca="false">(B$36*$C$16-$C$20+$A37*$C$17-$C$21)/$C$28</f>
        <v>103.570166235634</v>
      </c>
      <c r="C37" s="36" t="n">
        <f aca="false">(C$36*$C$16-$C$20+$A37*$C$17-$C$21)/$C$28</f>
        <v>108.80276405183</v>
      </c>
      <c r="D37" s="36" t="n">
        <f aca="false">(D$36*$C$16-$C$20+$A37*$C$17-$C$21)/$C$28</f>
        <v>114.035361868027</v>
      </c>
      <c r="E37" s="36" t="n">
        <f aca="false">(E$36*$C$16-$C$20+$A37*$C$17-$C$21)/$C$28</f>
        <v>119.267959684223</v>
      </c>
      <c r="F37" s="36" t="n">
        <f aca="false">(F$36*$C$16-$C$20+$A37*$C$17-$C$21)/$C$28</f>
        <v>124.50055750042</v>
      </c>
    </row>
    <row r="38" customFormat="false" ht="15" hidden="false" customHeight="false" outlineLevel="0" collapsed="false">
      <c r="A38" s="38" t="n">
        <v>7</v>
      </c>
      <c r="B38" s="36" t="n">
        <f aca="false">(B$36*$C$16-$C$20+$A38*$C$17-$C$21)/$C$28</f>
        <v>112.872833091866</v>
      </c>
      <c r="C38" s="36" t="n">
        <f aca="false">(C$36*$C$16-$C$20+$A38*$C$17-$C$21)/$C$28</f>
        <v>118.105430908063</v>
      </c>
      <c r="D38" s="36" t="n">
        <f aca="false">(D$36*$C$16-$C$20+$A38*$C$17-$C$21)/$C$28</f>
        <v>123.33802872426</v>
      </c>
      <c r="E38" s="36" t="n">
        <f aca="false">(E$36*$C$16-$C$20+$A38*$C$17-$C$21)/$C$28</f>
        <v>128.570626540456</v>
      </c>
      <c r="F38" s="36" t="n">
        <f aca="false">(F$36*$C$16-$C$20+$A38*$C$17-$C$21)/$C$28</f>
        <v>133.803224356653</v>
      </c>
    </row>
    <row r="39" customFormat="false" ht="15" hidden="false" customHeight="false" outlineLevel="0" collapsed="false">
      <c r="A39" s="38" t="n">
        <v>7.5</v>
      </c>
      <c r="B39" s="36" t="n">
        <f aca="false">(B$36*$C$16-$C$20+$A39*$C$17-$C$21)/$C$28</f>
        <v>122.175499948099</v>
      </c>
      <c r="C39" s="36" t="n">
        <f aca="false">(C$36*$C$16-$C$20+$A39*$C$17-$C$21)/$C$28</f>
        <v>127.408097764296</v>
      </c>
      <c r="D39" s="36" t="n">
        <f aca="false">(D$36*$C$16-$C$20+$A39*$C$17-$C$21)/$C$28</f>
        <v>132.640695580492</v>
      </c>
      <c r="E39" s="36" t="n">
        <f aca="false">(E$36*$C$16-$C$20+$A39*$C$17-$C$21)/$C$28</f>
        <v>137.873293396689</v>
      </c>
      <c r="F39" s="36" t="n">
        <f aca="false">(F$36*$C$16-$C$20+$A39*$C$17-$C$21)/$C$28</f>
        <v>143.105891212886</v>
      </c>
    </row>
    <row r="40" customFormat="false" ht="15" hidden="false" customHeight="false" outlineLevel="0" collapsed="false">
      <c r="A40" s="38" t="n">
        <v>8</v>
      </c>
      <c r="B40" s="36" t="n">
        <f aca="false">(B$36*$C$16-$C$20+$A40*$C$17-$C$21)/$C$28</f>
        <v>131.478166804332</v>
      </c>
      <c r="C40" s="36" t="n">
        <f aca="false">(C$36*$C$16-$C$20+$A40*$C$17-$C$21)/$C$28</f>
        <v>136.710764620529</v>
      </c>
      <c r="D40" s="36" t="n">
        <f aca="false">(D$36*$C$16-$C$20+$A40*$C$17-$C$21)/$C$28</f>
        <v>141.943362436725</v>
      </c>
      <c r="E40" s="36" t="n">
        <f aca="false">(E$36*$C$16-$C$20+$A40*$C$17-$C$21)/$C$28</f>
        <v>147.175960252922</v>
      </c>
      <c r="F40" s="36" t="n">
        <f aca="false">(F$36*$C$16-$C$20+$A40*$C$17-$C$21)/$C$28</f>
        <v>152.408558069118</v>
      </c>
    </row>
    <row r="41" customFormat="false" ht="15" hidden="false" customHeight="false" outlineLevel="0" collapsed="false">
      <c r="A41" s="38" t="n">
        <v>8.5</v>
      </c>
      <c r="B41" s="36" t="n">
        <f aca="false">(B$36*$C$16-$C$20+$A41*$C$17-$C$21)/$C$28</f>
        <v>140.780833660565</v>
      </c>
      <c r="C41" s="36" t="n">
        <f aca="false">(C$36*$C$16-$C$20+$A41*$C$17-$C$21)/$C$28</f>
        <v>146.013431476762</v>
      </c>
      <c r="D41" s="36" t="n">
        <f aca="false">(D$36*$C$16-$C$20+$A41*$C$17-$C$21)/$C$28</f>
        <v>151.246029292958</v>
      </c>
      <c r="E41" s="36" t="n">
        <f aca="false">(E$36*$C$16-$C$20+$A41*$C$17-$C$21)/$C$28</f>
        <v>156.478627109155</v>
      </c>
      <c r="F41" s="36" t="n">
        <f aca="false">(F$36*$C$16-$C$20+$A41*$C$17-$C$21)/$C$28</f>
        <v>161.711224925351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5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183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26.85" hidden="false" customHeight="false" outlineLevel="0" collapsed="false">
      <c r="A3" s="43" t="s">
        <v>184</v>
      </c>
      <c r="B3" s="43" t="s">
        <v>185</v>
      </c>
      <c r="C3" s="43" t="s">
        <v>186</v>
      </c>
      <c r="D3" s="43" t="s">
        <v>187</v>
      </c>
      <c r="E3" s="43" t="s">
        <v>188</v>
      </c>
      <c r="F3" s="43" t="s">
        <v>189</v>
      </c>
      <c r="G3" s="43" t="s">
        <v>5</v>
      </c>
    </row>
    <row r="4" customFormat="false" ht="15" hidden="false" customHeight="false" outlineLevel="0" collapsed="false">
      <c r="A4" s="2" t="s">
        <v>190</v>
      </c>
      <c r="B4" s="9" t="n">
        <v>6.45</v>
      </c>
      <c r="C4" s="16" t="n">
        <v>708.5</v>
      </c>
      <c r="D4" s="36" t="n">
        <f aca="false">C4/B4</f>
        <v>109.84496124031</v>
      </c>
      <c r="E4" s="44" t="n">
        <f aca="false">B4*Inputs!$B$4</f>
        <v>495.5535</v>
      </c>
      <c r="F4" s="44" t="n">
        <f aca="false">E4-C4</f>
        <v>-212.9465</v>
      </c>
      <c r="G4" s="8" t="s">
        <v>191</v>
      </c>
    </row>
    <row r="5" customFormat="false" ht="15" hidden="false" customHeight="false" outlineLevel="0" collapsed="false">
      <c r="A5" s="2" t="s">
        <v>192</v>
      </c>
      <c r="B5" s="9" t="n">
        <v>9.5</v>
      </c>
      <c r="C5" s="16" t="n">
        <v>948.1</v>
      </c>
      <c r="D5" s="36" t="n">
        <f aca="false">C5/B5</f>
        <v>99.8</v>
      </c>
      <c r="E5" s="44" t="n">
        <f aca="false">B5*Inputs!$B$4</f>
        <v>729.885</v>
      </c>
      <c r="F5" s="44" t="n">
        <f aca="false">E5-C5</f>
        <v>-218.215</v>
      </c>
      <c r="G5" s="8" t="s">
        <v>193</v>
      </c>
    </row>
    <row r="6" customFormat="false" ht="15" hidden="false" customHeight="false" outlineLevel="0" collapsed="false">
      <c r="A6" s="12" t="s">
        <v>194</v>
      </c>
      <c r="B6" s="45" t="n">
        <f aca="false">SUM(B4:B5)</f>
        <v>15.95</v>
      </c>
      <c r="C6" s="46" t="n">
        <f aca="false">SUM(C4:C5)</f>
        <v>1656.6</v>
      </c>
      <c r="D6" s="34" t="n">
        <f aca="false">C6/B6</f>
        <v>103.862068965517</v>
      </c>
      <c r="E6" s="46" t="n">
        <f aca="false">SUM(E4:E5)</f>
        <v>1225.4385</v>
      </c>
      <c r="F6" s="46" t="n">
        <f aca="false">SUM(F4:F5)</f>
        <v>-431.1615</v>
      </c>
      <c r="G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12" t="s">
        <v>195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196</v>
      </c>
      <c r="B9" s="13" t="n">
        <v>0.0625</v>
      </c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197</v>
      </c>
      <c r="B10" s="44" t="n">
        <f aca="false">C6*B9</f>
        <v>103.5375</v>
      </c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198</v>
      </c>
      <c r="B11" s="47" t="n">
        <f aca="false">(Inputs!$B$6-C6)/1615.9</f>
        <v>3.52955009592178</v>
      </c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2" t="s">
        <v>199</v>
      </c>
    </row>
    <row r="2" customFormat="false" ht="15" hidden="false" customHeight="false" outlineLevel="0" collapsed="false">
      <c r="A2" s="5" t="s">
        <v>200</v>
      </c>
    </row>
    <row r="3" customFormat="false" ht="15" hidden="false" customHeight="false" outlineLevel="0" collapsed="false">
      <c r="A3" s="5" t="s">
        <v>201</v>
      </c>
    </row>
    <row r="4" customFormat="false" ht="15" hidden="false" customHeight="false" outlineLevel="0" collapsed="false">
      <c r="A4" s="5" t="s">
        <v>202</v>
      </c>
    </row>
    <row r="5" customFormat="false" ht="15" hidden="false" customHeight="false" outlineLevel="0" collapsed="false">
      <c r="A5" s="5" t="s">
        <v>203</v>
      </c>
    </row>
    <row r="6" customFormat="false" ht="15" hidden="false" customHeight="false" outlineLevel="0" collapsed="false">
      <c r="A6" s="5" t="s">
        <v>204</v>
      </c>
    </row>
    <row r="7" customFormat="false" ht="15" hidden="false" customHeight="false" outlineLevel="0" collapsed="false">
      <c r="A7" s="5"/>
    </row>
    <row r="8" customFormat="false" ht="15" hidden="false" customHeight="false" outlineLevel="0" collapsed="false">
      <c r="A8" s="12" t="s">
        <v>205</v>
      </c>
    </row>
    <row r="9" customFormat="false" ht="15" hidden="false" customHeight="false" outlineLevel="0" collapsed="false">
      <c r="A9" s="5" t="s">
        <v>206</v>
      </c>
    </row>
    <row r="10" customFormat="false" ht="15" hidden="false" customHeight="false" outlineLevel="0" collapsed="false">
      <c r="A10" s="5" t="s">
        <v>207</v>
      </c>
    </row>
    <row r="11" customFormat="false" ht="15" hidden="false" customHeight="false" outlineLevel="0" collapsed="false">
      <c r="A11" s="5" t="s">
        <v>208</v>
      </c>
    </row>
    <row r="12" customFormat="false" ht="15" hidden="false" customHeight="false" outlineLevel="0" collapsed="false">
      <c r="A12" s="5" t="s">
        <v>209</v>
      </c>
    </row>
    <row r="13" customFormat="false" ht="15" hidden="false" customHeight="false" outlineLevel="0" collapsed="false">
      <c r="A13" s="5" t="s">
        <v>210</v>
      </c>
    </row>
    <row r="14" customFormat="false" ht="15" hidden="false" customHeight="false" outlineLevel="0" collapsed="false">
      <c r="A14" s="5" t="s">
        <v>211</v>
      </c>
    </row>
    <row r="15" customFormat="false" ht="15" hidden="false" customHeight="false" outlineLevel="0" collapsed="false">
      <c r="A15" s="5"/>
    </row>
    <row r="16" customFormat="false" ht="15" hidden="false" customHeight="false" outlineLevel="0" collapsed="false">
      <c r="A16" s="12" t="s">
        <v>212</v>
      </c>
    </row>
    <row r="17" customFormat="false" ht="15" hidden="false" customHeight="false" outlineLevel="0" collapsed="false">
      <c r="A17" s="5" t="s">
        <v>213</v>
      </c>
    </row>
    <row r="18" customFormat="false" ht="15" hidden="false" customHeight="false" outlineLevel="0" collapsed="false">
      <c r="A18" s="5" t="s">
        <v>214</v>
      </c>
    </row>
    <row r="19" customFormat="false" ht="15" hidden="false" customHeight="false" outlineLevel="0" collapsed="false">
      <c r="A19" s="5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2026-10-14T01:50:01Z</dcterms:created>
  <dc:creator>openpyxl</dc:creator>
  <dc:description/>
  <dc:language>en-US</dc:language>
  <cp:lastModifiedBy/>
  <dcterms:modified xsi:type="dcterms:W3CDTF">2026-10-14T01:50:02Z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